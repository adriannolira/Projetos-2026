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D:\downloads\"/>
    </mc:Choice>
  </mc:AlternateContent>
  <bookViews>
    <workbookView xWindow="0" yWindow="0" windowWidth="28800" windowHeight="12285"/>
  </bookViews>
  <sheets>
    <sheet name="aba1_entrada_dados" sheetId="1" r:id="rId1"/>
    <sheet name="Aba 2" sheetId="2" r:id="rId2"/>
    <sheet name="aba de apoio" sheetId="3" r:id="rId3"/>
  </sheets>
  <definedNames>
    <definedName name="aba2_relatorio_mensal" localSheetId="1">'Aba 2'!$A$1:$N$24</definedName>
    <definedName name="entrada">'Aba 2'!$A$5:$A$7</definedName>
    <definedName name="investimentos">'Aba 2'!$A$19:$A$21</definedName>
    <definedName name="lista1">'aba de apoio'!$A$1:$A$10</definedName>
    <definedName name="saidas">'Aba 2'!$A$11:$A$15</definedName>
  </definedNames>
  <calcPr calcId="152511"/>
</workbook>
</file>

<file path=xl/calcChain.xml><?xml version="1.0" encoding="utf-8"?>
<calcChain xmlns="http://schemas.openxmlformats.org/spreadsheetml/2006/main">
  <c r="G28" i="1" l="1"/>
  <c r="G27" i="1"/>
  <c r="G26" i="1"/>
  <c r="G25" i="1"/>
  <c r="G24" i="1"/>
  <c r="G23" i="1"/>
  <c r="G22" i="1"/>
  <c r="G21" i="1"/>
  <c r="G20" i="1"/>
  <c r="G19" i="1"/>
  <c r="G18" i="1"/>
  <c r="H18" i="1" s="1"/>
  <c r="G17" i="1"/>
  <c r="H17" i="1" s="1"/>
  <c r="G16" i="1"/>
  <c r="H16" i="1" s="1"/>
  <c r="G15" i="1"/>
  <c r="H15" i="1" s="1"/>
  <c r="G14" i="1"/>
  <c r="H14" i="1" s="1"/>
  <c r="G13" i="1"/>
  <c r="H13" i="1" s="1"/>
  <c r="G12" i="1"/>
  <c r="H12" i="1" s="1"/>
  <c r="G11" i="1"/>
  <c r="H11" i="1" s="1"/>
  <c r="G10" i="1"/>
  <c r="H10" i="1" s="1"/>
  <c r="G9" i="1"/>
  <c r="H9" i="1" s="1"/>
  <c r="G8" i="1"/>
  <c r="H8" i="1" s="1"/>
  <c r="G7" i="1"/>
  <c r="H7" i="1" s="1"/>
  <c r="G6" i="1"/>
  <c r="H6" i="1" s="1"/>
  <c r="G5" i="1"/>
  <c r="H5" i="1" s="1"/>
  <c r="G4" i="1"/>
  <c r="H4" i="1" s="1"/>
  <c r="G3" i="1"/>
  <c r="H3" i="1" s="1"/>
  <c r="G2" i="1"/>
  <c r="H2" i="1" s="1"/>
</calcChain>
</file>

<file path=xl/sharedStrings.xml><?xml version="1.0" encoding="utf-8"?>
<sst xmlns="http://schemas.openxmlformats.org/spreadsheetml/2006/main" count="104" uniqueCount="59">
  <si>
    <t>ENTRADAS</t>
  </si>
  <si>
    <t>Data</t>
  </si>
  <si>
    <t>Descrição</t>
  </si>
  <si>
    <t>Conta</t>
  </si>
  <si>
    <t>Valor</t>
  </si>
  <si>
    <t>Fluxo</t>
  </si>
  <si>
    <t>Tipo</t>
  </si>
  <si>
    <t>Venda de Produtos</t>
  </si>
  <si>
    <t>Venda Lote A10</t>
  </si>
  <si>
    <t>Prestação de Serviços</t>
  </si>
  <si>
    <t>Aluguel Escritório</t>
  </si>
  <si>
    <t>Aluguel e Utilidades</t>
  </si>
  <si>
    <t>Rendimentos</t>
  </si>
  <si>
    <t>Marketing Digital Jan</t>
  </si>
  <si>
    <t>Marketing e Vendas</t>
  </si>
  <si>
    <t>Aporte Reserva Mensal</t>
  </si>
  <si>
    <t>Reserva de Emergência</t>
  </si>
  <si>
    <t>SAÍDAS</t>
  </si>
  <si>
    <t>Salários Equipe</t>
  </si>
  <si>
    <t>Folha de Pagamento</t>
  </si>
  <si>
    <t>CMV (Fornecedores)</t>
  </si>
  <si>
    <t>Serviço Consultoria B</t>
  </si>
  <si>
    <t>Compra de Insumos</t>
  </si>
  <si>
    <t>Impostos Simples Nacional</t>
  </si>
  <si>
    <t>Impostos e Taxas</t>
  </si>
  <si>
    <t>Venda Lote B2</t>
  </si>
  <si>
    <t>Consultoria Março</t>
  </si>
  <si>
    <t>Rendimento Poupança</t>
  </si>
  <si>
    <t>Venda Lote C1</t>
  </si>
  <si>
    <t>Energia Elétrica Março</t>
  </si>
  <si>
    <t>Folha Março</t>
  </si>
  <si>
    <t>Insumos Produção</t>
  </si>
  <si>
    <t>Google Ads Abril</t>
  </si>
  <si>
    <t>Aporte Reserva Março</t>
  </si>
  <si>
    <t>Equipamento Produção</t>
  </si>
  <si>
    <t>Expansão/Novos Ativos</t>
  </si>
  <si>
    <t>INVESTIMENTOS</t>
  </si>
  <si>
    <t>Categoria</t>
  </si>
  <si>
    <t>Janeiro</t>
  </si>
  <si>
    <t>Fevereiro</t>
  </si>
  <si>
    <t>Março</t>
  </si>
  <si>
    <t>Abril</t>
  </si>
  <si>
    <t>Maio</t>
  </si>
  <si>
    <t>Junho</t>
  </si>
  <si>
    <t>Julho</t>
  </si>
  <si>
    <t>Agosto</t>
  </si>
  <si>
    <t>Setembro</t>
  </si>
  <si>
    <t>Outubro</t>
  </si>
  <si>
    <t>Novembro</t>
  </si>
  <si>
    <t>Dezembro</t>
  </si>
  <si>
    <t>Consolidado</t>
  </si>
  <si>
    <t>Saldo Inicial do Caixa</t>
  </si>
  <si>
    <t>ENTRADAS (Receitas)</t>
  </si>
  <si>
    <t>Total de Entradas</t>
  </si>
  <si>
    <t>SAÍDAS (Despesas)</t>
  </si>
  <si>
    <t>Total de Saídas</t>
  </si>
  <si>
    <t>Total de Investimentos</t>
  </si>
  <si>
    <t>RESULTADO OPERACIONAL (Entradas - Saídas)</t>
  </si>
  <si>
    <t>SALDO ACUMULADO (Saldo Inicial + Resultado)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</si>
</sst>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44" formatCode="_-&quot;R$&quot;\ * #,##0.00_-;\-&quot;R$&quot;\ * #,##0.00_-;_-&quot;R$&quot;\ * &quot;-&quot;??_-;_-@_-"/>
    <numFmt numFmtId="164" formatCode="&quot;R$&quot;\ #,##0.00"/>
  </numFmts>
  <fonts count="3" x14ac:knownFonts="1">
    <font>
      <sz val="11"/>
      <color theme="1"/>
      <name val="Segoe UI"/>
      <family val="2"/>
    </font>
    <font>
      <sz val="11"/>
      <color theme="1"/>
      <name val="Segoe UI"/>
      <family val="2"/>
    </font>
    <font>
      <sz val="11"/>
      <color theme="0"/>
      <name val="Segoe UI"/>
      <family val="2"/>
    </font>
  </fonts>
  <fills count="4">
    <fill>
      <patternFill patternType="none"/>
    </fill>
    <fill>
      <patternFill patternType="gray125"/>
    </fill>
    <fill>
      <patternFill patternType="solid">
        <fgColor theme="8"/>
      </patternFill>
    </fill>
    <fill>
      <patternFill patternType="solid">
        <fgColor theme="8"/>
        <bgColor auto="1"/>
      </patternFill>
    </fill>
  </fills>
  <borders count="10">
    <border>
      <left/>
      <right/>
      <top/>
      <bottom/>
      <diagonal/>
    </border>
    <border>
      <left style="thin">
        <color theme="2" tint="-0.24994659260841701"/>
      </left>
      <right style="thin">
        <color theme="2" tint="-0.24994659260841701"/>
      </right>
      <top style="thin">
        <color theme="2" tint="-0.24994659260841701"/>
      </top>
      <bottom style="thin">
        <color theme="2" tint="-0.24994659260841701"/>
      </bottom>
      <diagonal/>
    </border>
    <border>
      <left style="thin">
        <color theme="2" tint="-0.24994659260841701"/>
      </left>
      <right style="thin">
        <color theme="2" tint="-0.24994659260841701"/>
      </right>
      <top style="thin">
        <color theme="2" tint="-0.24994659260841701"/>
      </top>
      <bottom/>
      <diagonal/>
    </border>
    <border>
      <left/>
      <right style="thin">
        <color theme="2" tint="-0.24994659260841701"/>
      </right>
      <top/>
      <bottom style="thin">
        <color theme="2" tint="-0.24994659260841701"/>
      </bottom>
      <diagonal/>
    </border>
    <border>
      <left style="thin">
        <color theme="2" tint="-0.24994659260841701"/>
      </left>
      <right style="thin">
        <color theme="2" tint="-0.24994659260841701"/>
      </right>
      <top/>
      <bottom style="thin">
        <color theme="2" tint="-0.24994659260841701"/>
      </bottom>
      <diagonal/>
    </border>
    <border>
      <left style="thin">
        <color theme="2" tint="-0.24994659260841701"/>
      </left>
      <right/>
      <top/>
      <bottom style="thin">
        <color theme="2" tint="-0.24994659260841701"/>
      </bottom>
      <diagonal/>
    </border>
    <border>
      <left/>
      <right style="thin">
        <color theme="2" tint="-0.24994659260841701"/>
      </right>
      <top style="thin">
        <color theme="2" tint="-0.24994659260841701"/>
      </top>
      <bottom style="thin">
        <color theme="2" tint="-0.24994659260841701"/>
      </bottom>
      <diagonal/>
    </border>
    <border>
      <left style="thin">
        <color theme="2" tint="-0.24994659260841701"/>
      </left>
      <right/>
      <top style="thin">
        <color theme="2" tint="-0.24994659260841701"/>
      </top>
      <bottom style="thin">
        <color theme="2" tint="-0.24994659260841701"/>
      </bottom>
      <diagonal/>
    </border>
    <border>
      <left/>
      <right style="thin">
        <color theme="2" tint="-0.24994659260841701"/>
      </right>
      <top style="thin">
        <color theme="2" tint="-0.24994659260841701"/>
      </top>
      <bottom/>
      <diagonal/>
    </border>
    <border>
      <left style="thin">
        <color theme="2" tint="-0.24994659260841701"/>
      </left>
      <right/>
      <top style="thin">
        <color theme="2" tint="-0.24994659260841701"/>
      </top>
      <bottom/>
      <diagonal/>
    </border>
  </borders>
  <cellStyleXfs count="3">
    <xf numFmtId="0" fontId="0" fillId="0" borderId="0"/>
    <xf numFmtId="44" fontId="1" fillId="0" borderId="0"/>
    <xf numFmtId="0" fontId="2" fillId="2" borderId="0"/>
  </cellStyleXfs>
  <cellXfs count="17">
    <xf numFmtId="0" fontId="0" fillId="0" borderId="0" xfId="0"/>
    <xf numFmtId="0" fontId="2" fillId="2" borderId="0" xfId="2"/>
    <xf numFmtId="0" fontId="2" fillId="2" borderId="1" xfId="2" applyBorder="1"/>
    <xf numFmtId="0" fontId="2" fillId="3" borderId="1" xfId="2" applyFill="1" applyBorder="1"/>
    <xf numFmtId="164" fontId="2" fillId="2" borderId="1" xfId="2" applyNumberFormat="1" applyBorder="1"/>
    <xf numFmtId="0" fontId="2" fillId="2" borderId="3" xfId="2" applyBorder="1" applyAlignment="1">
      <alignment horizontal="center"/>
    </xf>
    <xf numFmtId="0" fontId="2" fillId="2" borderId="4" xfId="2" applyBorder="1" applyAlignment="1">
      <alignment horizontal="center"/>
    </xf>
    <xf numFmtId="0" fontId="2" fillId="2" borderId="5" xfId="2" applyBorder="1" applyAlignment="1">
      <alignment horizontal="center"/>
    </xf>
    <xf numFmtId="14" fontId="2" fillId="2" borderId="6" xfId="2" applyNumberFormat="1" applyBorder="1" applyAlignment="1">
      <alignment horizontal="center"/>
    </xf>
    <xf numFmtId="0" fontId="2" fillId="2" borderId="1" xfId="2" applyBorder="1" applyAlignment="1">
      <alignment horizontal="center"/>
    </xf>
    <xf numFmtId="164" fontId="2" fillId="2" borderId="1" xfId="1" applyNumberFormat="1" applyFont="1" applyFill="1" applyBorder="1" applyAlignment="1">
      <alignment horizontal="center"/>
    </xf>
    <xf numFmtId="0" fontId="2" fillId="2" borderId="7" xfId="2" applyBorder="1" applyAlignment="1">
      <alignment horizontal="center"/>
    </xf>
    <xf numFmtId="14" fontId="2" fillId="2" borderId="8" xfId="2" applyNumberFormat="1" applyBorder="1" applyAlignment="1">
      <alignment horizontal="center"/>
    </xf>
    <xf numFmtId="0" fontId="2" fillId="2" borderId="2" xfId="2" applyBorder="1" applyAlignment="1">
      <alignment horizontal="center"/>
    </xf>
    <xf numFmtId="164" fontId="2" fillId="2" borderId="2" xfId="1" applyNumberFormat="1" applyFont="1" applyFill="1" applyBorder="1" applyAlignment="1">
      <alignment horizontal="center"/>
    </xf>
    <xf numFmtId="0" fontId="2" fillId="2" borderId="9" xfId="2" applyBorder="1" applyAlignment="1">
      <alignment horizontal="center"/>
    </xf>
    <xf numFmtId="0" fontId="2" fillId="2" borderId="3" xfId="2" applyNumberFormat="1" applyFont="1" applyFill="1" applyBorder="1" applyAlignment="1"/>
  </cellXfs>
  <cellStyles count="3">
    <cellStyle name="Ênfase5" xfId="2" builtinId="45"/>
    <cellStyle name="Moeda" xfId="1" builtinId="4"/>
    <cellStyle name="Normal" xfId="0" builtinId="0"/>
  </cellStyles>
  <dxfs count="11">
    <dxf>
      <alignment horizontal="center" vertical="bottom"/>
      <border outline="0">
        <left style="thin">
          <color theme="2" tint="-0.24994659260841701"/>
        </left>
        <right/>
        <top style="thin">
          <color theme="2" tint="-0.24994659260841701"/>
        </top>
        <bottom style="thin">
          <color theme="2" tint="-0.24994659260841701"/>
        </bottom>
      </border>
    </dxf>
    <dxf>
      <alignment horizontal="center" vertical="bottom"/>
      <border outline="0">
        <left style="thin">
          <color theme="2" tint="-0.24994659260841701"/>
        </left>
        <right style="thin">
          <color theme="2" tint="-0.24994659260841701"/>
        </right>
        <top style="thin">
          <color theme="2" tint="-0.24994659260841701"/>
        </top>
        <bottom style="thin">
          <color theme="2" tint="-0.24994659260841701"/>
        </bottom>
      </border>
    </dxf>
    <dxf>
      <numFmt numFmtId="164" formatCode="&quot;R$&quot;\ #,##0.00"/>
      <alignment horizontal="center" vertical="bottom"/>
      <border outline="0">
        <left style="thin">
          <color theme="2" tint="-0.24994659260841701"/>
        </left>
        <right style="thin">
          <color theme="2" tint="-0.24994659260841701"/>
        </right>
        <top style="thin">
          <color theme="2" tint="-0.24994659260841701"/>
        </top>
        <bottom style="thin">
          <color theme="2" tint="-0.24994659260841701"/>
        </bottom>
      </border>
    </dxf>
    <dxf>
      <alignment horizontal="center" vertical="bottom"/>
      <border outline="0">
        <left style="thin">
          <color theme="2" tint="-0.24994659260841701"/>
        </left>
        <right style="thin">
          <color theme="2" tint="-0.24994659260841701"/>
        </right>
        <top style="thin">
          <color theme="2" tint="-0.24994659260841701"/>
        </top>
        <bottom style="thin">
          <color theme="2" tint="-0.24994659260841701"/>
        </bottom>
      </border>
    </dxf>
    <dxf>
      <alignment horizontal="center" vertical="bottom"/>
      <border outline="0">
        <left style="thin">
          <color theme="2" tint="-0.24994659260841701"/>
        </left>
        <right style="thin">
          <color theme="2" tint="-0.24994659260841701"/>
        </right>
        <top style="thin">
          <color theme="2" tint="-0.24994659260841701"/>
        </top>
        <bottom style="thin">
          <color theme="2" tint="-0.24994659260841701"/>
        </bottom>
      </border>
    </dxf>
    <dxf>
      <numFmt numFmtId="19" formatCode="dd/mm/yyyy"/>
      <alignment horizontal="center" vertical="bottom"/>
      <border outline="0">
        <left/>
        <right style="thin">
          <color theme="2" tint="-0.24994659260841701"/>
        </right>
        <top style="thin">
          <color theme="2" tint="-0.24994659260841701"/>
        </top>
        <bottom style="thin">
          <color theme="2" tint="-0.24994659260841701"/>
        </bottom>
      </border>
    </dxf>
    <dxf>
      <border>
        <top style="thin">
          <color theme="2" tint="-0.24994659260841701"/>
        </top>
      </border>
    </dxf>
    <dxf>
      <border>
        <left style="thin">
          <color theme="2" tint="-0.24994659260841701"/>
        </left>
        <right style="thin">
          <color theme="2" tint="-0.24994659260841701"/>
        </right>
        <top style="thin">
          <color theme="2" tint="-0.24994659260841701"/>
        </top>
        <bottom style="thin">
          <color theme="2" tint="-0.24994659260841701"/>
        </bottom>
      </border>
    </dxf>
    <dxf>
      <alignment horizontal="center" vertical="bottom"/>
    </dxf>
    <dxf>
      <border>
        <bottom style="thin">
          <color theme="2" tint="-0.24994659260841701"/>
        </bottom>
      </border>
    </dxf>
    <dxf>
      <alignment horizontal="center" vertical="bottom"/>
      <border outline="0">
        <left style="thin">
          <color theme="2" tint="-0.24994659260841701"/>
        </left>
        <right style="thin">
          <color theme="2" tint="-0.24994659260841701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id="1" name="Tabela1" displayName="Tabela1" ref="C1:H18" totalsRowShown="0" headerRowDxfId="10" dataDxfId="8" headerRowBorderDxfId="9" tableBorderDxfId="7" totalsRowBorderDxfId="6" headerRowCellStyle="Ênfase5" dataCellStyle="Ênfase5">
  <autoFilter ref="C1:H18"/>
  <tableColumns count="6">
    <tableColumn id="1" name="Data" dataDxfId="5" dataCellStyle="Ênfase5"/>
    <tableColumn id="2" name="Descrição" dataDxfId="4" dataCellStyle="Ênfase5"/>
    <tableColumn id="3" name="Conta" dataDxfId="3" dataCellStyle="Ênfase5"/>
    <tableColumn id="4" name="Valor" dataDxfId="2" dataCellStyle="Moeda"/>
    <tableColumn id="5" name="Fluxo" dataDxfId="1" dataCellStyle="Ênfase5">
      <calculatedColumnFormula>IF(E2="", "", IF(COUNTIF('Aba 2'!$A$5:$A$7, E2)&gt;0, "Entrada", IF(COUNTIF('Aba 2'!$A$11:$A$15, E2)&gt;0, "Saída", "Investimento")))</calculatedColumnFormula>
    </tableColumn>
    <tableColumn id="6" name="Tipo" dataDxfId="0" dataCellStyle="Ênfase5">
      <calculatedColumnFormula>IF(Tabela1[[#This Row],[Fluxo]]="Investimento","Investimento","Operacional")</calculatedColumnFormula>
    </tableColumn>
  </tableColumns>
  <tableStyleInfo name="TableStyleDark3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Escala de Cinza">
      <a:dk1>
        <a:sysClr val="windowText" lastClr="000000"/>
      </a:dk1>
      <a:lt1>
        <a:sysClr val="window" lastClr="FFFFFF"/>
      </a:lt1>
      <a:dk2>
        <a:srgbClr val="000000"/>
      </a:dk2>
      <a:lt2>
        <a:srgbClr val="F8F8F8"/>
      </a:lt2>
      <a:accent1>
        <a:srgbClr val="DDDDDD"/>
      </a:accent1>
      <a:accent2>
        <a:srgbClr val="B2B2B2"/>
      </a:accent2>
      <a:accent3>
        <a:srgbClr val="969696"/>
      </a:accent3>
      <a:accent4>
        <a:srgbClr val="808080"/>
      </a:accent4>
      <a:accent5>
        <a:srgbClr val="5F5F5F"/>
      </a:accent5>
      <a:accent6>
        <a:srgbClr val="4D4D4D"/>
      </a:accent6>
      <a:hlink>
        <a:srgbClr val="5F5F5F"/>
      </a:hlink>
      <a:folHlink>
        <a:srgbClr val="919191"/>
      </a:folHlink>
    </a:clrScheme>
    <a:fontScheme name="Escritório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28"/>
  <sheetViews>
    <sheetView tabSelected="1" workbookViewId="0">
      <selection activeCell="H19" sqref="H19"/>
    </sheetView>
  </sheetViews>
  <sheetFormatPr defaultRowHeight="16.5" x14ac:dyDescent="0.3"/>
  <cols>
    <col min="1" max="1" width="22.875" style="1" bestFit="1" customWidth="1"/>
    <col min="2" max="2" width="9" style="1" customWidth="1"/>
    <col min="3" max="3" width="16.75" style="1" bestFit="1" customWidth="1"/>
    <col min="4" max="4" width="23.75" style="1" bestFit="1" customWidth="1"/>
    <col min="5" max="5" width="22.875" style="1" bestFit="1" customWidth="1"/>
    <col min="6" max="6" width="11.25" style="1" bestFit="1" customWidth="1"/>
    <col min="7" max="8" width="11.5" style="1" bestFit="1" customWidth="1"/>
    <col min="9" max="9" width="9" style="1" customWidth="1"/>
    <col min="10" max="16384" width="9" style="1"/>
  </cols>
  <sheetData>
    <row r="1" spans="1:8" x14ac:dyDescent="0.3">
      <c r="A1" s="3" t="s">
        <v>0</v>
      </c>
      <c r="C1" s="5" t="s">
        <v>1</v>
      </c>
      <c r="D1" s="6" t="s">
        <v>2</v>
      </c>
      <c r="E1" s="6" t="s">
        <v>3</v>
      </c>
      <c r="F1" s="6" t="s">
        <v>4</v>
      </c>
      <c r="G1" s="6" t="s">
        <v>5</v>
      </c>
      <c r="H1" s="7" t="s">
        <v>6</v>
      </c>
    </row>
    <row r="2" spans="1:8" x14ac:dyDescent="0.3">
      <c r="A2" s="3" t="s">
        <v>7</v>
      </c>
      <c r="C2" s="8">
        <v>46027</v>
      </c>
      <c r="D2" s="9" t="s">
        <v>8</v>
      </c>
      <c r="E2" s="9" t="s">
        <v>7</v>
      </c>
      <c r="F2" s="10">
        <v>15500</v>
      </c>
      <c r="G2" s="9" t="str">
        <f>IF(E2="", "", IF(COUNTIF('Aba 2'!$A$5:$A$7, E2)&gt;0, "Entrada", IF(COUNTIF('Aba 2'!$A$11:$A$15, E2)&gt;0, "Saída", "Investimento")))</f>
        <v>Entrada</v>
      </c>
      <c r="H2" s="11" t="str">
        <f>IF(Tabela1[[#This Row],[Fluxo]]="Investimento","Investimento","Operacional")</f>
        <v>Operacional</v>
      </c>
    </row>
    <row r="3" spans="1:8" x14ac:dyDescent="0.3">
      <c r="A3" s="3" t="s">
        <v>9</v>
      </c>
      <c r="C3" s="8">
        <v>46032</v>
      </c>
      <c r="D3" s="9" t="s">
        <v>10</v>
      </c>
      <c r="E3" s="9" t="s">
        <v>11</v>
      </c>
      <c r="F3" s="10">
        <v>3200</v>
      </c>
      <c r="G3" s="9" t="str">
        <f>IF(E3="", "", IF(COUNTIF('Aba 2'!$A$5:$A$7, E3)&gt;0, "Entrada", IF(COUNTIF('Aba 2'!$A$11:$A$15, E3)&gt;0, "Saída", "Investimento")))</f>
        <v>Saída</v>
      </c>
      <c r="H3" s="11" t="str">
        <f>IF(Tabela1[[#This Row],[Fluxo]]="Investimento","Investimento","Operacional")</f>
        <v>Operacional</v>
      </c>
    </row>
    <row r="4" spans="1:8" x14ac:dyDescent="0.3">
      <c r="A4" s="3" t="s">
        <v>12</v>
      </c>
      <c r="C4" s="8">
        <v>46037</v>
      </c>
      <c r="D4" s="9" t="s">
        <v>13</v>
      </c>
      <c r="E4" s="9" t="s">
        <v>14</v>
      </c>
      <c r="F4" s="10">
        <v>1200</v>
      </c>
      <c r="G4" s="9" t="str">
        <f>IF(E4="", "", IF(COUNTIF('Aba 2'!$A$5:$A$7, E4)&gt;0, "Entrada", IF(COUNTIF('Aba 2'!$A$11:$A$15, E4)&gt;0, "Saída", "Investimento")))</f>
        <v>Saída</v>
      </c>
      <c r="H4" s="11" t="str">
        <f>IF(Tabela1[[#This Row],[Fluxo]]="Investimento","Investimento","Operacional")</f>
        <v>Operacional</v>
      </c>
    </row>
    <row r="5" spans="1:8" x14ac:dyDescent="0.3">
      <c r="A5" s="3"/>
      <c r="C5" s="8">
        <v>46042</v>
      </c>
      <c r="D5" s="9" t="s">
        <v>15</v>
      </c>
      <c r="E5" s="9" t="s">
        <v>16</v>
      </c>
      <c r="F5" s="10">
        <v>1500</v>
      </c>
      <c r="G5" s="9" t="str">
        <f>IF(E5="", "", IF(COUNTIF('Aba 2'!$A$5:$A$7, E5)&gt;0, "Entrada", IF(COUNTIF('Aba 2'!$A$11:$A$15, E5)&gt;0, "Saída", "Investimento")))</f>
        <v>Investimento</v>
      </c>
      <c r="H5" s="11" t="str">
        <f>IF(Tabela1[[#This Row],[Fluxo]]="Investimento","Investimento","Operacional")</f>
        <v>Investimento</v>
      </c>
    </row>
    <row r="6" spans="1:8" x14ac:dyDescent="0.3">
      <c r="A6" s="3" t="s">
        <v>17</v>
      </c>
      <c r="C6" s="8">
        <v>46050</v>
      </c>
      <c r="D6" s="9" t="s">
        <v>18</v>
      </c>
      <c r="E6" s="9" t="s">
        <v>19</v>
      </c>
      <c r="F6" s="10">
        <v>8500</v>
      </c>
      <c r="G6" s="9" t="str">
        <f>IF(E6="", "", IF(COUNTIF('Aba 2'!$A$5:$A$7, E6)&gt;0, "Entrada", IF(COUNTIF('Aba 2'!$A$11:$A$15, E6)&gt;0, "Saída", "Investimento")))</f>
        <v>Saída</v>
      </c>
      <c r="H6" s="11" t="str">
        <f>IF(Tabela1[[#This Row],[Fluxo]]="Investimento","Investimento","Operacional")</f>
        <v>Operacional</v>
      </c>
    </row>
    <row r="7" spans="1:8" x14ac:dyDescent="0.3">
      <c r="A7" s="3" t="s">
        <v>20</v>
      </c>
      <c r="C7" s="8">
        <v>46058</v>
      </c>
      <c r="D7" s="9" t="s">
        <v>21</v>
      </c>
      <c r="E7" s="9" t="s">
        <v>9</v>
      </c>
      <c r="F7" s="10">
        <v>4200</v>
      </c>
      <c r="G7" s="9" t="str">
        <f>IF(E7="", "", IF(COUNTIF('Aba 2'!$A$5:$A$7, E7)&gt;0, "Entrada", IF(COUNTIF('Aba 2'!$A$11:$A$15, E7)&gt;0, "Saída", "Investimento")))</f>
        <v>Entrada</v>
      </c>
      <c r="H7" s="11" t="str">
        <f>IF(Tabela1[[#This Row],[Fluxo]]="Investimento","Investimento","Operacional")</f>
        <v>Operacional</v>
      </c>
    </row>
    <row r="8" spans="1:8" x14ac:dyDescent="0.3">
      <c r="A8" s="3" t="s">
        <v>19</v>
      </c>
      <c r="C8" s="8">
        <v>46065</v>
      </c>
      <c r="D8" s="9" t="s">
        <v>22</v>
      </c>
      <c r="E8" s="9" t="s">
        <v>20</v>
      </c>
      <c r="F8" s="10">
        <v>5400</v>
      </c>
      <c r="G8" s="9" t="str">
        <f>IF(E8="", "", IF(COUNTIF('Aba 2'!$A$5:$A$7, E8)&gt;0, "Entrada", IF(COUNTIF('Aba 2'!$A$11:$A$15, E8)&gt;0, "Saída", "Investimento")))</f>
        <v>Saída</v>
      </c>
      <c r="H8" s="11" t="str">
        <f>IF(Tabela1[[#This Row],[Fluxo]]="Investimento","Investimento","Operacional")</f>
        <v>Operacional</v>
      </c>
    </row>
    <row r="9" spans="1:8" x14ac:dyDescent="0.3">
      <c r="A9" s="3" t="s">
        <v>14</v>
      </c>
      <c r="C9" s="8">
        <v>46081</v>
      </c>
      <c r="D9" s="9" t="s">
        <v>23</v>
      </c>
      <c r="E9" s="9" t="s">
        <v>24</v>
      </c>
      <c r="F9" s="10">
        <v>1100</v>
      </c>
      <c r="G9" s="9" t="str">
        <f>IF(E9="", "", IF(COUNTIF('Aba 2'!$A$5:$A$7, E9)&gt;0, "Entrada", IF(COUNTIF('Aba 2'!$A$11:$A$15, E9)&gt;0, "Saída", "Investimento")))</f>
        <v>Saída</v>
      </c>
      <c r="H9" s="11" t="str">
        <f>IF(Tabela1[[#This Row],[Fluxo]]="Investimento","Investimento","Operacional")</f>
        <v>Operacional</v>
      </c>
    </row>
    <row r="10" spans="1:8" x14ac:dyDescent="0.3">
      <c r="A10" s="3" t="s">
        <v>24</v>
      </c>
      <c r="C10" s="8">
        <v>46155</v>
      </c>
      <c r="D10" s="9" t="s">
        <v>23</v>
      </c>
      <c r="E10" s="9" t="s">
        <v>24</v>
      </c>
      <c r="F10" s="10">
        <v>100</v>
      </c>
      <c r="G10" s="9" t="str">
        <f>IF(E10="", "", IF(COUNTIF('Aba 2'!$A$5:$A$7, E10)&gt;0, "Entrada", IF(COUNTIF('Aba 2'!$A$11:$A$15, E10)&gt;0, "Saída", "Investimento")))</f>
        <v>Saída</v>
      </c>
      <c r="H10" s="11" t="str">
        <f>IF(Tabela1[[#This Row],[Fluxo]]="Investimento","Investimento","Operacional")</f>
        <v>Operacional</v>
      </c>
    </row>
    <row r="11" spans="1:8" x14ac:dyDescent="0.3">
      <c r="A11" s="3" t="s">
        <v>11</v>
      </c>
      <c r="C11" s="8">
        <v>46155</v>
      </c>
      <c r="D11" s="9" t="s">
        <v>23</v>
      </c>
      <c r="E11" s="9" t="s">
        <v>16</v>
      </c>
      <c r="F11" s="10">
        <v>10</v>
      </c>
      <c r="G11" s="9" t="str">
        <f>IF(E11="", "", IF(COUNTIF('Aba 2'!$A$5:$A$7, E11)&gt;0, "Entrada", IF(COUNTIF('Aba 2'!$A$11:$A$15, E11)&gt;0, "Saída", "Investimento")))</f>
        <v>Investimento</v>
      </c>
      <c r="H11" s="11" t="str">
        <f>IF(Tabela1[[#This Row],[Fluxo]]="Investimento","Investimento","Operacional")</f>
        <v>Investimento</v>
      </c>
    </row>
    <row r="12" spans="1:8" x14ac:dyDescent="0.3">
      <c r="A12" s="3"/>
      <c r="C12" s="12">
        <v>46160</v>
      </c>
      <c r="D12" s="13" t="s">
        <v>23</v>
      </c>
      <c r="E12" s="13" t="s">
        <v>16</v>
      </c>
      <c r="F12" s="14">
        <v>18</v>
      </c>
      <c r="G12" s="9" t="str">
        <f>IF(E12="", "", IF(COUNTIF('Aba 2'!$A$5:$A$7, E12)&gt;0, "Entrada", IF(COUNTIF('Aba 2'!$A$11:$A$15, E12)&gt;0, "Saída", "Investimento")))</f>
        <v>Investimento</v>
      </c>
      <c r="H12" s="15" t="str">
        <f>IF(Tabela1[[#This Row],[Fluxo]]="Investimento","Investimento","Operacional")</f>
        <v>Investimento</v>
      </c>
    </row>
    <row r="13" spans="1:8" x14ac:dyDescent="0.3">
      <c r="C13" s="12">
        <v>46086</v>
      </c>
      <c r="D13" s="13" t="s">
        <v>25</v>
      </c>
      <c r="E13" s="13" t="s">
        <v>7</v>
      </c>
      <c r="F13" s="14">
        <v>12000</v>
      </c>
      <c r="G13" s="9" t="str">
        <f>IF(E13="", "", IF(COUNTIF('Aba 2'!$A$5:$A$7, E13)&gt;0, "Entrada", IF(COUNTIF('Aba 2'!$A$11:$A$15, E13)&gt;0, "Saída", "Investimento")))</f>
        <v>Entrada</v>
      </c>
      <c r="H13" s="1" t="str">
        <f>IF(Tabela1[[#This Row],[Fluxo]]="Investimento","Investimento","Operacional")</f>
        <v>Operacional</v>
      </c>
    </row>
    <row r="14" spans="1:8" x14ac:dyDescent="0.3">
      <c r="C14" s="12">
        <v>46091</v>
      </c>
      <c r="D14" s="13" t="s">
        <v>26</v>
      </c>
      <c r="E14" s="13" t="s">
        <v>9</v>
      </c>
      <c r="F14" s="14">
        <v>3800</v>
      </c>
      <c r="G14" s="9" t="str">
        <f>IF(E14="", "", IF(COUNTIF('Aba 2'!$A$5:$A$7, E14)&gt;0, "Entrada", IF(COUNTIF('Aba 2'!$A$11:$A$15, E14)&gt;0, "Saída", "Investimento")))</f>
        <v>Entrada</v>
      </c>
      <c r="H14" s="1" t="str">
        <f>IF(Tabela1[[#This Row],[Fluxo]]="Investimento","Investimento","Operacional")</f>
        <v>Operacional</v>
      </c>
    </row>
    <row r="15" spans="1:8" x14ac:dyDescent="0.3">
      <c r="C15" s="12">
        <v>46099</v>
      </c>
      <c r="D15" s="13" t="s">
        <v>27</v>
      </c>
      <c r="E15" s="13" t="s">
        <v>12</v>
      </c>
      <c r="F15" s="14">
        <v>420</v>
      </c>
      <c r="G15" s="9" t="str">
        <f>IF(E15="", "", IF(COUNTIF('Aba 2'!$A$5:$A$7, E15)&gt;0, "Entrada", IF(COUNTIF('Aba 2'!$A$11:$A$15, E15)&gt;0, "Saída", "Investimento")))</f>
        <v>Entrada</v>
      </c>
      <c r="H15" s="1" t="str">
        <f>IF(Tabela1[[#This Row],[Fluxo]]="Investimento","Investimento","Operacional")</f>
        <v>Operacional</v>
      </c>
    </row>
    <row r="16" spans="1:8" x14ac:dyDescent="0.3">
      <c r="C16" s="12">
        <v>46114</v>
      </c>
      <c r="D16" s="13" t="s">
        <v>28</v>
      </c>
      <c r="E16" s="13" t="s">
        <v>7</v>
      </c>
      <c r="F16" s="14">
        <v>9500</v>
      </c>
      <c r="G16" s="9" t="str">
        <f>IF(E16="", "", IF(COUNTIF('Aba 2'!$A$5:$A$7, E16)&gt;0, "Entrada", IF(COUNTIF('Aba 2'!$A$11:$A$15, E16)&gt;0, "Saída", "Investimento")))</f>
        <v>Entrada</v>
      </c>
      <c r="H16" s="1" t="str">
        <f>IF(Tabela1[[#This Row],[Fluxo]]="Investimento","Investimento","Operacional")</f>
        <v>Operacional</v>
      </c>
    </row>
    <row r="17" spans="1:8" x14ac:dyDescent="0.3">
      <c r="C17" s="12">
        <v>46093</v>
      </c>
      <c r="D17" s="13" t="s">
        <v>29</v>
      </c>
      <c r="E17" s="13" t="s">
        <v>11</v>
      </c>
      <c r="F17" s="14">
        <v>1350</v>
      </c>
      <c r="G17" s="9" t="str">
        <f>IF(E17="", "", IF(COUNTIF('Aba 2'!$A$5:$A$7, E17)&gt;0, "Entrada", IF(COUNTIF('Aba 2'!$A$11:$A$15, E17)&gt;0, "Saída", "Investimento")))</f>
        <v>Saída</v>
      </c>
      <c r="H17" s="1" t="str">
        <f>IF(Tabela1[[#This Row],[Fluxo]]="Investimento","Investimento","Operacional")</f>
        <v>Operacional</v>
      </c>
    </row>
    <row r="18" spans="1:8" x14ac:dyDescent="0.3">
      <c r="C18" s="12">
        <v>46101</v>
      </c>
      <c r="D18" s="13" t="s">
        <v>30</v>
      </c>
      <c r="E18" s="13" t="s">
        <v>19</v>
      </c>
      <c r="F18" s="14">
        <v>8500</v>
      </c>
      <c r="G18" s="9" t="str">
        <f>IF(E18="", "", IF(COUNTIF('Aba 2'!$A$5:$A$7, E18)&gt;0, "Entrada", IF(COUNTIF('Aba 2'!$A$11:$A$15, E18)&gt;0, "Saída", "Investimento")))</f>
        <v>Saída</v>
      </c>
      <c r="H18" s="1" t="str">
        <f>IF(Tabela1[[#This Row],[Fluxo]]="Investimento","Investimento","Operacional")</f>
        <v>Operacional</v>
      </c>
    </row>
    <row r="19" spans="1:8" x14ac:dyDescent="0.3">
      <c r="C19" s="12">
        <v>46106</v>
      </c>
      <c r="D19" s="13" t="s">
        <v>31</v>
      </c>
      <c r="E19" s="13" t="s">
        <v>20</v>
      </c>
      <c r="F19" s="14">
        <v>4700</v>
      </c>
      <c r="G19" s="9" t="str">
        <f>IF(E19="", "", IF(COUNTIF('Aba 2'!$A$5:$A$7, E19)&gt;0, "Entrada", IF(COUNTIF('Aba 2'!$A$11:$A$15, E19)&gt;0, "Saída", "Investimento")))</f>
        <v>Saída</v>
      </c>
      <c r="H19" s="16"/>
    </row>
    <row r="20" spans="1:8" x14ac:dyDescent="0.3">
      <c r="C20" s="12">
        <v>46117</v>
      </c>
      <c r="D20" s="13" t="s">
        <v>32</v>
      </c>
      <c r="E20" s="13" t="s">
        <v>14</v>
      </c>
      <c r="F20" s="14">
        <v>980</v>
      </c>
      <c r="G20" s="9" t="str">
        <f>IF(E20="", "", IF(COUNTIF('Aba 2'!$A$5:$A$7, E20)&gt;0, "Entrada", IF(COUNTIF('Aba 2'!$A$11:$A$15, E20)&gt;0, "Saída", "Investimento")))</f>
        <v>Saída</v>
      </c>
      <c r="H20" s="16"/>
    </row>
    <row r="21" spans="1:8" x14ac:dyDescent="0.3">
      <c r="C21" s="12">
        <v>46109</v>
      </c>
      <c r="D21" s="13" t="s">
        <v>33</v>
      </c>
      <c r="E21" s="13" t="s">
        <v>16</v>
      </c>
      <c r="F21" s="14">
        <v>2000</v>
      </c>
      <c r="G21" s="9" t="str">
        <f>IF(E21="", "", IF(COUNTIF('Aba 2'!$A$5:$A$7, E21)&gt;0, "Entrada", IF(COUNTIF('Aba 2'!$A$11:$A$15, E21)&gt;0, "Saída", "Investimento")))</f>
        <v>Investimento</v>
      </c>
      <c r="H21" s="16"/>
    </row>
    <row r="22" spans="1:8" x14ac:dyDescent="0.3">
      <c r="C22" s="12">
        <v>46122</v>
      </c>
      <c r="D22" s="13" t="s">
        <v>34</v>
      </c>
      <c r="E22" s="13" t="s">
        <v>35</v>
      </c>
      <c r="F22" s="14">
        <v>6500</v>
      </c>
      <c r="G22" s="9" t="str">
        <f>IF(E22="", "", IF(COUNTIF('Aba 2'!$A$5:$A$7, E22)&gt;0, "Entrada", IF(COUNTIF('Aba 2'!$A$11:$A$15, E22)&gt;0, "Saída", "Investimento")))</f>
        <v>Investimento</v>
      </c>
      <c r="H22" s="16"/>
    </row>
    <row r="23" spans="1:8" x14ac:dyDescent="0.3">
      <c r="A23" s="3" t="s">
        <v>36</v>
      </c>
      <c r="C23" s="12"/>
      <c r="D23" s="13"/>
      <c r="E23" s="13"/>
      <c r="F23" s="14"/>
      <c r="G23" s="9" t="str">
        <f>IF(E13="", "", IF(COUNTIF('Aba 2'!$A$5:$A$7, E13)&gt;0, "Entrada", IF(COUNTIF('Aba 2'!$A$11:$A$15, E13)&gt;0, "Saída", "Investimento")))</f>
        <v>Entrada</v>
      </c>
      <c r="H23" s="16"/>
    </row>
    <row r="24" spans="1:8" x14ac:dyDescent="0.3">
      <c r="A24" s="3" t="s">
        <v>16</v>
      </c>
      <c r="C24" s="12"/>
      <c r="D24" s="13"/>
      <c r="E24" s="13"/>
      <c r="F24" s="14"/>
      <c r="G24" s="9" t="str">
        <f>IF(E14="", "", IF(COUNTIF('Aba 2'!$A$5:$A$7, E14)&gt;0, "Entrada", IF(COUNTIF('Aba 2'!$A$11:$A$15, E14)&gt;0, "Saída", "Investimento")))</f>
        <v>Entrada</v>
      </c>
      <c r="H24" s="16"/>
    </row>
    <row r="25" spans="1:8" x14ac:dyDescent="0.3">
      <c r="A25" s="3" t="s">
        <v>35</v>
      </c>
      <c r="C25" s="12"/>
      <c r="D25" s="13"/>
      <c r="E25" s="13"/>
      <c r="F25" s="14"/>
      <c r="G25" s="9" t="str">
        <f>IF(E15="", "", IF(COUNTIF('Aba 2'!$A$5:$A$7, E15)&gt;0, "Entrada", IF(COUNTIF('Aba 2'!$A$11:$A$15, E15)&gt;0, "Saída", "Investimento")))</f>
        <v>Entrada</v>
      </c>
      <c r="H25" s="16"/>
    </row>
    <row r="26" spans="1:8" x14ac:dyDescent="0.3">
      <c r="C26" s="12"/>
      <c r="D26" s="13"/>
      <c r="E26" s="13"/>
      <c r="F26" s="14"/>
      <c r="G26" s="9" t="str">
        <f>IF(E16="", "", IF(COUNTIF('Aba 2'!$A$5:$A$7, E16)&gt;0, "Entrada", IF(COUNTIF('Aba 2'!$A$11:$A$15, E16)&gt;0, "Saída", "Investimento")))</f>
        <v>Entrada</v>
      </c>
      <c r="H26" s="16"/>
    </row>
    <row r="27" spans="1:8" x14ac:dyDescent="0.3">
      <c r="C27" s="12"/>
      <c r="D27" s="13"/>
      <c r="E27" s="13"/>
      <c r="F27" s="14"/>
      <c r="G27" s="9" t="str">
        <f>IF(E17="", "", IF(COUNTIF('Aba 2'!$A$5:$A$7, E17)&gt;0, "Entrada", IF(COUNTIF('Aba 2'!$A$11:$A$15, E17)&gt;0, "Saída", "Investimento")))</f>
        <v>Saída</v>
      </c>
      <c r="H27" s="16"/>
    </row>
    <row r="28" spans="1:8" x14ac:dyDescent="0.3">
      <c r="C28" s="12"/>
      <c r="D28" s="13"/>
      <c r="E28" s="13"/>
      <c r="F28" s="14"/>
      <c r="G28" s="13" t="str">
        <f>IF(E18="", "", IF(COUNTIF('Aba 2'!$A$5:$A$7, E18)&gt;0, "Entrada", IF(COUNTIF('Aba 2'!$A$11:$A$15, E18)&gt;0, "Saída", "Investimento")))</f>
        <v>Saída</v>
      </c>
      <c r="H28" s="16"/>
    </row>
  </sheetData>
  <dataValidations count="1">
    <dataValidation type="list" allowBlank="1" showInputMessage="1" showErrorMessage="1" sqref="E2:E18">
      <formula1>lista1</formula1>
    </dataValidation>
  </dataValidations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24"/>
  <sheetViews>
    <sheetView workbookViewId="0">
      <selection activeCell="B3" sqref="B3"/>
    </sheetView>
  </sheetViews>
  <sheetFormatPr defaultRowHeight="16.5" x14ac:dyDescent="0.3"/>
  <cols>
    <col min="1" max="1" width="42" style="1" bestFit="1" customWidth="1"/>
    <col min="2" max="14" width="12.375" style="1" customWidth="1"/>
    <col min="15" max="15" width="9" style="1" customWidth="1"/>
    <col min="16" max="16384" width="9" style="1"/>
  </cols>
  <sheetData>
    <row r="1" spans="1:14" x14ac:dyDescent="0.3">
      <c r="A1" s="2" t="s">
        <v>37</v>
      </c>
      <c r="B1" s="2" t="s">
        <v>38</v>
      </c>
      <c r="C1" s="2" t="s">
        <v>39</v>
      </c>
      <c r="D1" s="2" t="s">
        <v>40</v>
      </c>
      <c r="E1" s="2" t="s">
        <v>41</v>
      </c>
      <c r="F1" s="2" t="s">
        <v>42</v>
      </c>
      <c r="G1" s="2" t="s">
        <v>43</v>
      </c>
      <c r="H1" s="2" t="s">
        <v>44</v>
      </c>
      <c r="I1" s="2" t="s">
        <v>45</v>
      </c>
      <c r="J1" s="2" t="s">
        <v>46</v>
      </c>
      <c r="K1" s="2" t="s">
        <v>47</v>
      </c>
      <c r="L1" s="2" t="s">
        <v>48</v>
      </c>
      <c r="M1" s="2" t="s">
        <v>49</v>
      </c>
      <c r="N1" s="2" t="s">
        <v>50</v>
      </c>
    </row>
    <row r="2" spans="1:14" x14ac:dyDescent="0.3">
      <c r="A2" s="2" t="s">
        <v>51</v>
      </c>
      <c r="B2" s="4">
        <v>0</v>
      </c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</row>
    <row r="3" spans="1:14" x14ac:dyDescent="0.3">
      <c r="A3" s="2"/>
      <c r="B3" s="4"/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</row>
    <row r="4" spans="1:14" x14ac:dyDescent="0.3">
      <c r="A4" s="2" t="s">
        <v>52</v>
      </c>
      <c r="B4" s="4"/>
      <c r="C4" s="4"/>
      <c r="D4" s="4"/>
      <c r="E4" s="4"/>
      <c r="F4" s="4"/>
      <c r="G4" s="4"/>
      <c r="H4" s="4"/>
      <c r="I4" s="4"/>
      <c r="J4" s="4"/>
      <c r="K4" s="4"/>
      <c r="L4" s="4"/>
      <c r="M4" s="4"/>
      <c r="N4" s="4"/>
    </row>
    <row r="5" spans="1:14" x14ac:dyDescent="0.3">
      <c r="A5" s="2" t="s">
        <v>7</v>
      </c>
      <c r="B5" s="4"/>
      <c r="C5" s="4"/>
      <c r="D5" s="4"/>
      <c r="E5" s="4"/>
      <c r="F5" s="4"/>
      <c r="G5" s="4"/>
      <c r="H5" s="4"/>
      <c r="I5" s="4"/>
      <c r="J5" s="4"/>
      <c r="K5" s="4"/>
      <c r="L5" s="4"/>
      <c r="M5" s="4"/>
      <c r="N5" s="4"/>
    </row>
    <row r="6" spans="1:14" x14ac:dyDescent="0.3">
      <c r="A6" s="2" t="s">
        <v>9</v>
      </c>
      <c r="B6" s="4"/>
      <c r="C6" s="4"/>
      <c r="D6" s="4"/>
      <c r="E6" s="4"/>
      <c r="F6" s="4"/>
      <c r="G6" s="4"/>
      <c r="H6" s="4"/>
      <c r="I6" s="4"/>
      <c r="J6" s="4"/>
      <c r="K6" s="4"/>
      <c r="L6" s="4"/>
      <c r="M6" s="4"/>
      <c r="N6" s="4"/>
    </row>
    <row r="7" spans="1:14" x14ac:dyDescent="0.3">
      <c r="A7" s="2" t="s">
        <v>12</v>
      </c>
      <c r="B7" s="4"/>
      <c r="C7" s="4"/>
      <c r="D7" s="4"/>
      <c r="E7" s="4"/>
      <c r="F7" s="4"/>
      <c r="G7" s="4"/>
      <c r="H7" s="4"/>
      <c r="I7" s="4"/>
      <c r="J7" s="4"/>
      <c r="K7" s="4"/>
      <c r="L7" s="4"/>
      <c r="M7" s="4"/>
      <c r="N7" s="4"/>
    </row>
    <row r="8" spans="1:14" x14ac:dyDescent="0.3">
      <c r="A8" s="2" t="s">
        <v>53</v>
      </c>
      <c r="B8" s="4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</row>
    <row r="9" spans="1:14" x14ac:dyDescent="0.3">
      <c r="A9" s="2"/>
      <c r="B9" s="4"/>
      <c r="C9" s="4"/>
      <c r="D9" s="4"/>
      <c r="E9" s="4"/>
      <c r="F9" s="4"/>
      <c r="G9" s="4"/>
      <c r="H9" s="4"/>
      <c r="I9" s="4"/>
      <c r="J9" s="4"/>
      <c r="K9" s="4"/>
      <c r="L9" s="4"/>
      <c r="M9" s="4"/>
      <c r="N9" s="4"/>
    </row>
    <row r="10" spans="1:14" x14ac:dyDescent="0.3">
      <c r="A10" s="2" t="s">
        <v>54</v>
      </c>
      <c r="B10" s="4"/>
      <c r="C10" s="4"/>
      <c r="D10" s="4"/>
      <c r="E10" s="4"/>
      <c r="F10" s="4"/>
      <c r="G10" s="4"/>
      <c r="H10" s="4"/>
      <c r="I10" s="4"/>
      <c r="J10" s="4"/>
      <c r="K10" s="4"/>
      <c r="L10" s="4"/>
      <c r="M10" s="4"/>
      <c r="N10" s="4"/>
    </row>
    <row r="11" spans="1:14" x14ac:dyDescent="0.3">
      <c r="A11" s="2" t="s">
        <v>20</v>
      </c>
      <c r="B11" s="4"/>
      <c r="C11" s="4"/>
      <c r="D11" s="4"/>
      <c r="E11" s="4"/>
      <c r="F11" s="4"/>
      <c r="G11" s="4"/>
      <c r="H11" s="4"/>
      <c r="I11" s="4"/>
      <c r="J11" s="4"/>
      <c r="K11" s="4"/>
      <c r="L11" s="4"/>
      <c r="M11" s="4"/>
      <c r="N11" s="4"/>
    </row>
    <row r="12" spans="1:14" x14ac:dyDescent="0.3">
      <c r="A12" s="2" t="s">
        <v>19</v>
      </c>
      <c r="B12" s="4"/>
      <c r="C12" s="4"/>
      <c r="D12" s="4"/>
      <c r="E12" s="4"/>
      <c r="F12" s="4"/>
      <c r="G12" s="4"/>
      <c r="H12" s="4"/>
      <c r="I12" s="4"/>
      <c r="J12" s="4"/>
      <c r="K12" s="4"/>
      <c r="L12" s="4"/>
      <c r="M12" s="4"/>
      <c r="N12" s="4"/>
    </row>
    <row r="13" spans="1:14" x14ac:dyDescent="0.3">
      <c r="A13" s="2" t="s">
        <v>14</v>
      </c>
      <c r="B13" s="4"/>
      <c r="C13" s="4"/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</row>
    <row r="14" spans="1:14" x14ac:dyDescent="0.3">
      <c r="A14" s="2" t="s">
        <v>24</v>
      </c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</row>
    <row r="15" spans="1:14" x14ac:dyDescent="0.3">
      <c r="A15" s="2" t="s">
        <v>11</v>
      </c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</row>
    <row r="16" spans="1:14" x14ac:dyDescent="0.3">
      <c r="A16" s="2" t="s">
        <v>55</v>
      </c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</row>
    <row r="17" spans="1:14" x14ac:dyDescent="0.3">
      <c r="A17" s="2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</row>
    <row r="18" spans="1:14" x14ac:dyDescent="0.3">
      <c r="A18" s="2" t="s">
        <v>36</v>
      </c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</row>
    <row r="19" spans="1:14" x14ac:dyDescent="0.3">
      <c r="A19" s="2" t="s">
        <v>16</v>
      </c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</row>
    <row r="20" spans="1:14" x14ac:dyDescent="0.3">
      <c r="A20" s="2" t="s">
        <v>35</v>
      </c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</row>
    <row r="21" spans="1:14" x14ac:dyDescent="0.3">
      <c r="A21" s="2" t="s">
        <v>56</v>
      </c>
      <c r="B21" s="4"/>
      <c r="C21" s="4"/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</row>
    <row r="22" spans="1:14" x14ac:dyDescent="0.3">
      <c r="A22" s="2"/>
      <c r="B22" s="4"/>
      <c r="C22" s="4"/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</row>
    <row r="23" spans="1:14" x14ac:dyDescent="0.3">
      <c r="A23" s="2" t="s">
        <v>57</v>
      </c>
      <c r="B23" s="4"/>
      <c r="C23" s="4"/>
      <c r="D23" s="4"/>
      <c r="E23" s="4"/>
      <c r="F23" s="4"/>
      <c r="G23" s="4"/>
      <c r="H23" s="4"/>
      <c r="I23" s="4"/>
      <c r="J23" s="4"/>
      <c r="K23" s="4"/>
      <c r="L23" s="4"/>
      <c r="M23" s="4"/>
      <c r="N23" s="4"/>
    </row>
    <row r="24" spans="1:14" x14ac:dyDescent="0.3">
      <c r="A24" s="2" t="s">
        <v>58</v>
      </c>
      <c r="B24" s="4"/>
      <c r="C24" s="4"/>
      <c r="D24" s="4"/>
      <c r="E24" s="4"/>
      <c r="F24" s="4"/>
      <c r="G24" s="4"/>
      <c r="H24" s="4"/>
      <c r="I24" s="4"/>
      <c r="J24" s="4"/>
      <c r="K24" s="4"/>
      <c r="L24" s="4"/>
      <c r="M24" s="4"/>
      <c r="N24" s="4"/>
    </row>
  </sheetData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10"/>
  <sheetViews>
    <sheetView workbookViewId="0">
      <selection activeCell="E9" sqref="E9"/>
    </sheetView>
  </sheetViews>
  <sheetFormatPr defaultRowHeight="16.5" x14ac:dyDescent="0.3"/>
  <cols>
    <col min="1" max="1" width="20.625" style="1" bestFit="1" customWidth="1"/>
    <col min="2" max="2" width="9" style="1" customWidth="1"/>
    <col min="3" max="16384" width="9" style="1"/>
  </cols>
  <sheetData>
    <row r="1" spans="1:1" x14ac:dyDescent="0.3">
      <c r="A1" s="2" t="s">
        <v>7</v>
      </c>
    </row>
    <row r="2" spans="1:1" x14ac:dyDescent="0.3">
      <c r="A2" s="2" t="s">
        <v>9</v>
      </c>
    </row>
    <row r="3" spans="1:1" x14ac:dyDescent="0.3">
      <c r="A3" s="2" t="s">
        <v>12</v>
      </c>
    </row>
    <row r="4" spans="1:1" x14ac:dyDescent="0.3">
      <c r="A4" s="2" t="s">
        <v>20</v>
      </c>
    </row>
    <row r="5" spans="1:1" x14ac:dyDescent="0.3">
      <c r="A5" s="2" t="s">
        <v>19</v>
      </c>
    </row>
    <row r="6" spans="1:1" x14ac:dyDescent="0.3">
      <c r="A6" s="2" t="s">
        <v>14</v>
      </c>
    </row>
    <row r="7" spans="1:1" x14ac:dyDescent="0.3">
      <c r="A7" s="2" t="s">
        <v>24</v>
      </c>
    </row>
    <row r="8" spans="1:1" x14ac:dyDescent="0.3">
      <c r="A8" s="2" t="s">
        <v>11</v>
      </c>
    </row>
    <row r="9" spans="1:1" x14ac:dyDescent="0.3">
      <c r="A9" s="2" t="s">
        <v>16</v>
      </c>
    </row>
    <row r="10" spans="1:1" x14ac:dyDescent="0.3">
      <c r="A10" s="2" t="s">
        <v>35</v>
      </c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3</vt:i4>
      </vt:variant>
      <vt:variant>
        <vt:lpstr>Intervalos nomeados</vt:lpstr>
      </vt:variant>
      <vt:variant>
        <vt:i4>5</vt:i4>
      </vt:variant>
    </vt:vector>
  </HeadingPairs>
  <TitlesOfParts>
    <vt:vector size="8" baseType="lpstr">
      <vt:lpstr>aba1_entrada_dados</vt:lpstr>
      <vt:lpstr>Aba 2</vt:lpstr>
      <vt:lpstr>aba de apoio</vt:lpstr>
      <vt:lpstr>'Aba 2'!aba2_relatorio_mensal</vt:lpstr>
      <vt:lpstr>entrada</vt:lpstr>
      <vt:lpstr>investimentos</vt:lpstr>
      <vt:lpstr>lista1</vt:lpstr>
      <vt:lpstr>saidas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Adriano Lira ֆ</dc:creator>
  <cp:lastModifiedBy>Adriano Lira ֆ</cp:lastModifiedBy>
  <dcterms:created xsi:type="dcterms:W3CDTF">2026-05-12T20:29:36Z</dcterms:created>
  <dcterms:modified xsi:type="dcterms:W3CDTF">2026-05-22T19:16:15Z</dcterms:modified>
</cp:coreProperties>
</file>