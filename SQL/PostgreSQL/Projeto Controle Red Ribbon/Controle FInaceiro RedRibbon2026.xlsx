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blioteca\Projetos 2026\Estudos Iniciais\Estudo de dados\SQL\PostgreSQL\Projeto Controle Red Ribbon\"/>
    </mc:Choice>
  </mc:AlternateContent>
  <bookViews>
    <workbookView xWindow="0" yWindow="0" windowWidth="28800" windowHeight="12285"/>
  </bookViews>
  <sheets>
    <sheet name="aba1_entrada_dados" sheetId="1" r:id="rId1"/>
    <sheet name="Aba 2" sheetId="2" r:id="rId2"/>
    <sheet name="aba de apoio" sheetId="4" r:id="rId3"/>
  </sheets>
  <definedNames>
    <definedName name="aba2_relatorio_mensal" localSheetId="1">'Aba 2'!$A$1:$N$24</definedName>
    <definedName name="entrada">'Aba 2'!$A$5:$A$7</definedName>
    <definedName name="investimentos">'Aba 2'!$A$19:$A$21</definedName>
    <definedName name="lista1">'aba de apoio'!$A$1:$A$10</definedName>
    <definedName name="saidas">'Aba 2'!$A$11:$A$15</definedName>
  </definedNam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  <c r="G2" i="1" l="1"/>
  <c r="G18" i="1"/>
  <c r="G5" i="1"/>
  <c r="G6" i="1"/>
  <c r="G7" i="1"/>
  <c r="G8" i="1"/>
  <c r="G9" i="1"/>
  <c r="G10" i="1"/>
  <c r="G11" i="1"/>
  <c r="H11" i="1" s="1"/>
  <c r="G12" i="1"/>
  <c r="G13" i="1"/>
  <c r="G14" i="1"/>
  <c r="G15" i="1"/>
  <c r="G16" i="1"/>
  <c r="G17" i="1"/>
  <c r="G3" i="1"/>
  <c r="G4" i="1"/>
</calcChain>
</file>

<file path=xl/connections.xml><?xml version="1.0" encoding="utf-8"?>
<connections xmlns="http://schemas.openxmlformats.org/spreadsheetml/2006/main">
  <connection id="1" name="aba2_relatorio_mensal" type="6" refreshedVersion="5" background="1" saveData="1">
    <textPr codePage="65001" sourceFile="D:\downloads\aba2_relatorio_mensal.csv" decimal="," thousands="." tab="0" semicolon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<sst xmlns="http://schemas.openxmlformats.org/spreadsheetml/2006/main" count="84" uniqueCount="49">
  <si>
    <t>ENTRADAS</t>
  </si>
  <si>
    <t>Data</t>
  </si>
  <si>
    <t>Conta</t>
  </si>
  <si>
    <t>Valor</t>
  </si>
  <si>
    <t>Fluxo</t>
  </si>
  <si>
    <t>Tipo</t>
  </si>
  <si>
    <t>Venda de Produtos</t>
  </si>
  <si>
    <t>Venda Lote A10</t>
  </si>
  <si>
    <t>Aluguel e Utilidades</t>
  </si>
  <si>
    <t>Rendimentos</t>
  </si>
  <si>
    <t>Marketing Digital Jan</t>
  </si>
  <si>
    <t>Marketing e Vendas</t>
  </si>
  <si>
    <t>Aporte Reserva Mensal</t>
  </si>
  <si>
    <t>Folha de Pagamento</t>
  </si>
  <si>
    <t>CMV (Fornecedores)</t>
  </si>
  <si>
    <t>Compra de Insumos</t>
  </si>
  <si>
    <t>Impostos Simples Nacional</t>
  </si>
  <si>
    <t>Impostos e Taxas</t>
  </si>
  <si>
    <t>INVESTIMENTOS</t>
  </si>
  <si>
    <t>Categoria</t>
  </si>
  <si>
    <t>Consolidado</t>
  </si>
  <si>
    <t>Saldo Inicial do Caixa</t>
  </si>
  <si>
    <t>ENTRADAS (Receitas)</t>
  </si>
  <si>
    <t>Prestação de Serviços</t>
  </si>
  <si>
    <t>Total de Entradas</t>
  </si>
  <si>
    <t>SAÍDAS (Despesas)</t>
  </si>
  <si>
    <t>Total de Saídas</t>
  </si>
  <si>
    <t>Reserva de Emergência</t>
  </si>
  <si>
    <t>Expansão/Novos Ativos</t>
  </si>
  <si>
    <t>Total de Investimentos</t>
  </si>
  <si>
    <t>RESULTADO OPERACIONAL (Entradas - Saídas)</t>
  </si>
  <si>
    <t>SALDO ACUMULADO (Saldo Inicial + Resultado)</t>
  </si>
  <si>
    <t>Descrição</t>
  </si>
  <si>
    <t>SAÍDAS</t>
  </si>
  <si>
    <t>Aluguel Escritório</t>
  </si>
  <si>
    <t>Salários Equipe</t>
  </si>
  <si>
    <t>Serviço Consultoria B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</si>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</sst>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Segoe UI"/>
      <family val="2"/>
    </font>
    <font>
      <b/>
      <sz val="13"/>
      <color theme="3"/>
      <name val="Segoe UI"/>
      <family val="2"/>
    </font>
    <font>
      <b/>
      <sz val="11"/>
      <color theme="3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  <font>
      <sz val="11"/>
      <color rgb="FF9C6500"/>
      <name val="Segoe UI"/>
      <family val="2"/>
    </font>
    <font>
      <sz val="11"/>
      <color rgb="FF3F3F76"/>
      <name val="Segoe UI"/>
      <family val="2"/>
    </font>
    <font>
      <b/>
      <sz val="11"/>
      <color rgb="FF3F3F3F"/>
      <name val="Segoe UI"/>
      <family val="2"/>
    </font>
    <font>
      <b/>
      <sz val="11"/>
      <color rgb="FFFA7D00"/>
      <name val="Segoe UI"/>
      <family val="2"/>
    </font>
    <font>
      <sz val="11"/>
      <color rgb="FFFA7D00"/>
      <name val="Segoe UI"/>
      <family val="2"/>
    </font>
    <font>
      <b/>
      <sz val="11"/>
      <color theme="0"/>
      <name val="Segoe UI"/>
      <family val="2"/>
    </font>
    <font>
      <sz val="11"/>
      <color rgb="FFFF0000"/>
      <name val="Segoe UI"/>
      <family val="2"/>
    </font>
    <font>
      <i/>
      <sz val="11"/>
      <color rgb="FF7F7F7F"/>
      <name val="Segoe UI"/>
      <family val="2"/>
    </font>
    <font>
      <b/>
      <sz val="11"/>
      <color theme="1"/>
      <name val="Segoe UI"/>
      <family val="2"/>
    </font>
    <font>
      <sz val="11"/>
      <color theme="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auto="1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7" fillId="25" borderId="0" xfId="35"/>
    <xf numFmtId="0" fontId="17" fillId="25" borderId="0" xfId="35" applyBorder="1"/>
    <xf numFmtId="0" fontId="17" fillId="25" borderId="10" xfId="35" applyBorder="1"/>
    <xf numFmtId="0" fontId="17" fillId="33" borderId="10" xfId="35" applyFill="1" applyBorder="1"/>
    <xf numFmtId="164" fontId="17" fillId="25" borderId="10" xfId="35" applyNumberFormat="1" applyBorder="1"/>
    <xf numFmtId="0" fontId="17" fillId="25" borderId="12" xfId="35" applyBorder="1" applyAlignment="1">
      <alignment horizontal="center"/>
    </xf>
    <xf numFmtId="0" fontId="17" fillId="25" borderId="13" xfId="35" applyBorder="1" applyAlignment="1">
      <alignment horizontal="center"/>
    </xf>
    <xf numFmtId="0" fontId="17" fillId="25" borderId="14" xfId="35" applyBorder="1" applyAlignment="1">
      <alignment horizontal="center"/>
    </xf>
    <xf numFmtId="14" fontId="17" fillId="25" borderId="15" xfId="35" applyNumberFormat="1" applyBorder="1" applyAlignment="1">
      <alignment horizontal="center"/>
    </xf>
    <xf numFmtId="0" fontId="17" fillId="25" borderId="10" xfId="35" applyBorder="1" applyAlignment="1">
      <alignment horizontal="center"/>
    </xf>
    <xf numFmtId="164" fontId="17" fillId="25" borderId="10" xfId="1" applyNumberFormat="1" applyFont="1" applyFill="1" applyBorder="1" applyAlignment="1">
      <alignment horizontal="center"/>
    </xf>
    <xf numFmtId="0" fontId="17" fillId="25" borderId="16" xfId="35" applyBorder="1" applyAlignment="1">
      <alignment horizontal="center"/>
    </xf>
    <xf numFmtId="14" fontId="17" fillId="25" borderId="17" xfId="35" applyNumberFormat="1" applyBorder="1" applyAlignment="1">
      <alignment horizontal="center"/>
    </xf>
    <xf numFmtId="0" fontId="17" fillId="25" borderId="11" xfId="35" applyBorder="1" applyAlignment="1">
      <alignment horizontal="center"/>
    </xf>
    <xf numFmtId="164" fontId="17" fillId="25" borderId="11" xfId="1" applyNumberFormat="1" applyFont="1" applyFill="1" applyBorder="1" applyAlignment="1">
      <alignment horizontal="center"/>
    </xf>
    <xf numFmtId="0" fontId="17" fillId="25" borderId="18" xfId="35" applyBorder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Moeda" xfId="1" builtinId="4"/>
    <cellStyle name="Neutra" xfId="9" builtinId="28" customBuiltin="1"/>
    <cellStyle name="Normal" xfId="0" builtinId="0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11">
    <dxf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4659260841701"/>
        </left>
        <right/>
        <top style="thin">
          <color theme="2" tint="-0.24994659260841701"/>
        </top>
        <bottom style="thin">
          <color theme="2" tint="-0.2499465926084170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border>
        <top style="thin">
          <color theme="2" tint="-0.24994659260841701"/>
        </top>
      </border>
    </dxf>
    <dxf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theme="2" tint="-0.2499465926084170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ba2_relatorio_mensal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ela1" displayName="Tabela1" ref="C1:H18" totalsRowShown="0" headerRowDxfId="10" dataDxfId="8" headerRowBorderDxfId="9" tableBorderDxfId="7" totalsRowBorderDxfId="6" headerRowCellStyle="Ênfase5" dataCellStyle="Ênfase5">
  <autoFilter ref="C1:H18"/>
  <tableColumns count="6">
    <tableColumn id="1" name="Data" dataDxfId="5" dataCellStyle="Ênfase5"/>
    <tableColumn id="2" name="Descrição" dataDxfId="4" dataCellStyle="Ênfase5"/>
    <tableColumn id="3" name="Conta" dataDxfId="3" dataCellStyle="Ênfase5"/>
    <tableColumn id="4" name="Valor" dataDxfId="2" dataCellStyle="Moeda"/>
    <tableColumn id="5" name="Fluxo" dataDxfId="1" dataCellStyle="Ênfase5">
      <calculatedColumnFormula>IF(E2="", "", IF(COUNTIF('Aba 2'!$A$5:$A$7, E2)&gt;0, "Entrada", IF(COUNTIF('Aba 2'!$A$11:$A$15, E2)&gt;0, "Saída", "Investimento")))</calculatedColumnFormula>
    </tableColumn>
    <tableColumn id="6" name="Tipo" dataDxfId="0" dataCellStyle="Ênfase5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ala de Cinza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H12" sqref="H12"/>
    </sheetView>
  </sheetViews>
  <sheetFormatPr defaultRowHeight="16.5" x14ac:dyDescent="0.3"/>
  <cols>
    <col min="1" max="1" width="22.875" style="1" bestFit="1" customWidth="1"/>
    <col min="2" max="2" width="9" style="1"/>
    <col min="3" max="3" width="13" style="1" customWidth="1"/>
    <col min="4" max="4" width="23.75" style="1" bestFit="1" customWidth="1"/>
    <col min="5" max="5" width="22.875" style="1" bestFit="1" customWidth="1"/>
    <col min="6" max="6" width="11.25" style="1" bestFit="1" customWidth="1"/>
    <col min="7" max="8" width="11.5" style="1" bestFit="1" customWidth="1"/>
    <col min="9" max="16384" width="9" style="1"/>
  </cols>
  <sheetData>
    <row r="1" spans="1:8" x14ac:dyDescent="0.3">
      <c r="A1" s="4" t="s">
        <v>0</v>
      </c>
      <c r="C1" s="6" t="s">
        <v>1</v>
      </c>
      <c r="D1" s="7" t="s">
        <v>32</v>
      </c>
      <c r="E1" s="7" t="s">
        <v>2</v>
      </c>
      <c r="F1" s="7" t="s">
        <v>3</v>
      </c>
      <c r="G1" s="7" t="s">
        <v>4</v>
      </c>
      <c r="H1" s="8" t="s">
        <v>5</v>
      </c>
    </row>
    <row r="2" spans="1:8" x14ac:dyDescent="0.3">
      <c r="A2" s="4" t="s">
        <v>6</v>
      </c>
      <c r="C2" s="9">
        <v>46027</v>
      </c>
      <c r="D2" s="10" t="s">
        <v>7</v>
      </c>
      <c r="E2" s="10" t="s">
        <v>6</v>
      </c>
      <c r="F2" s="11">
        <v>15500</v>
      </c>
      <c r="G2" s="10" t="str">
        <f>IF(E2="", "", IF(COUNTIF('Aba 2'!$A$5:$A$7, E2)&gt;0, "Entrada", IF(COUNTIF('Aba 2'!$A$11:$A$15, E2)&gt;0, "Saída", "Investimento")))</f>
        <v>Entrada</v>
      </c>
      <c r="H2" s="12" t="str">
        <f>IF(Tabela1[[#This Row],[Fluxo]]="Investmento","Investimento","Operacional")</f>
        <v>Operacional</v>
      </c>
    </row>
    <row r="3" spans="1:8" x14ac:dyDescent="0.3">
      <c r="A3" s="4" t="s">
        <v>23</v>
      </c>
      <c r="C3" s="9">
        <v>46032</v>
      </c>
      <c r="D3" s="10" t="s">
        <v>34</v>
      </c>
      <c r="E3" s="10" t="s">
        <v>8</v>
      </c>
      <c r="F3" s="11">
        <v>3200</v>
      </c>
      <c r="G3" s="10" t="str">
        <f>IF(E3="", "", IF(COUNTIF('Aba 2'!$A$5:$A$7, E3)&gt;0, "Entrada", IF(COUNTIF('Aba 2'!$A$11:$A$15, E3)&gt;0, "Saída", "Investimento")))</f>
        <v>Saída</v>
      </c>
      <c r="H3" s="12" t="str">
        <f>IF(Tabela1[[#This Row],[Fluxo]]="Investmento","Investimento","Operacional")</f>
        <v>Operacional</v>
      </c>
    </row>
    <row r="4" spans="1:8" x14ac:dyDescent="0.3">
      <c r="A4" s="4" t="s">
        <v>9</v>
      </c>
      <c r="C4" s="9">
        <v>46037</v>
      </c>
      <c r="D4" s="10" t="s">
        <v>10</v>
      </c>
      <c r="E4" s="10" t="s">
        <v>11</v>
      </c>
      <c r="F4" s="11">
        <v>1200</v>
      </c>
      <c r="G4" s="10" t="str">
        <f>IF(E4="", "", IF(COUNTIF('Aba 2'!$A$5:$A$7, E4)&gt;0, "Entrada", IF(COUNTIF('Aba 2'!$A$11:$A$15, E4)&gt;0, "Saída", "Investimento")))</f>
        <v>Saída</v>
      </c>
      <c r="H4" s="12" t="str">
        <f>IF(Tabela1[[#This Row],[Fluxo]]="Investmento","Investimento","Operacional")</f>
        <v>Operacional</v>
      </c>
    </row>
    <row r="5" spans="1:8" x14ac:dyDescent="0.3">
      <c r="A5" s="4"/>
      <c r="C5" s="9">
        <v>46042</v>
      </c>
      <c r="D5" s="10" t="s">
        <v>12</v>
      </c>
      <c r="E5" s="10" t="s">
        <v>27</v>
      </c>
      <c r="F5" s="11">
        <v>1500</v>
      </c>
      <c r="G5" s="10" t="str">
        <f>IF(E5="", "", IF(COUNTIF('Aba 2'!$A$5:$A$7, E5)&gt;0, "Entrada", IF(COUNTIF('Aba 2'!$A$11:$A$15, E5)&gt;0, "Saída", "Investimento")))</f>
        <v>Investimento</v>
      </c>
      <c r="H5" s="12" t="str">
        <f>IF(Tabela1[[#This Row],[Fluxo]]="Investmento","Investimento","Operacional")</f>
        <v>Operacional</v>
      </c>
    </row>
    <row r="6" spans="1:8" x14ac:dyDescent="0.3">
      <c r="A6" s="4" t="s">
        <v>33</v>
      </c>
      <c r="C6" s="9">
        <v>46050</v>
      </c>
      <c r="D6" s="10" t="s">
        <v>35</v>
      </c>
      <c r="E6" s="10" t="s">
        <v>13</v>
      </c>
      <c r="F6" s="11">
        <v>8500</v>
      </c>
      <c r="G6" s="10" t="str">
        <f>IF(E6="", "", IF(COUNTIF('Aba 2'!$A$5:$A$7, E6)&gt;0, "Entrada", IF(COUNTIF('Aba 2'!$A$11:$A$15, E6)&gt;0, "Saída", "Investimento")))</f>
        <v>Saída</v>
      </c>
      <c r="H6" s="12" t="str">
        <f>IF(Tabela1[[#This Row],[Fluxo]]="Investmento","Investimento","Operacional")</f>
        <v>Operacional</v>
      </c>
    </row>
    <row r="7" spans="1:8" x14ac:dyDescent="0.3">
      <c r="A7" s="4" t="s">
        <v>14</v>
      </c>
      <c r="C7" s="9">
        <v>46058</v>
      </c>
      <c r="D7" s="10" t="s">
        <v>36</v>
      </c>
      <c r="E7" s="10" t="s">
        <v>23</v>
      </c>
      <c r="F7" s="11">
        <v>4200</v>
      </c>
      <c r="G7" s="10" t="str">
        <f>IF(E7="", "", IF(COUNTIF('Aba 2'!$A$5:$A$7, E7)&gt;0, "Entrada", IF(COUNTIF('Aba 2'!$A$11:$A$15, E7)&gt;0, "Saída", "Investimento")))</f>
        <v>Entrada</v>
      </c>
      <c r="H7" s="12" t="str">
        <f>IF(Tabela1[[#This Row],[Fluxo]]="Investmento","Investimento","Operacional")</f>
        <v>Operacional</v>
      </c>
    </row>
    <row r="8" spans="1:8" x14ac:dyDescent="0.3">
      <c r="A8" s="4" t="s">
        <v>13</v>
      </c>
      <c r="C8" s="9">
        <v>46065</v>
      </c>
      <c r="D8" s="10" t="s">
        <v>15</v>
      </c>
      <c r="E8" s="10" t="s">
        <v>14</v>
      </c>
      <c r="F8" s="11">
        <v>5400</v>
      </c>
      <c r="G8" s="10" t="str">
        <f>IF(E8="", "", IF(COUNTIF('Aba 2'!$A$5:$A$7, E8)&gt;0, "Entrada", IF(COUNTIF('Aba 2'!$A$11:$A$15, E8)&gt;0, "Saída", "Investimento")))</f>
        <v>Saída</v>
      </c>
      <c r="H8" s="12" t="str">
        <f>IF(Tabela1[[#This Row],[Fluxo]]="Investmento","Investimento","Operacional")</f>
        <v>Operacional</v>
      </c>
    </row>
    <row r="9" spans="1:8" x14ac:dyDescent="0.3">
      <c r="A9" s="4" t="s">
        <v>11</v>
      </c>
      <c r="C9" s="9">
        <v>46081</v>
      </c>
      <c r="D9" s="10" t="s">
        <v>16</v>
      </c>
      <c r="E9" s="10" t="s">
        <v>17</v>
      </c>
      <c r="F9" s="11">
        <v>1100</v>
      </c>
      <c r="G9" s="10" t="str">
        <f>IF(E9="", "", IF(COUNTIF('Aba 2'!$A$5:$A$7, E9)&gt;0, "Entrada", IF(COUNTIF('Aba 2'!$A$11:$A$15, E9)&gt;0, "Saída", "Investimento")))</f>
        <v>Saída</v>
      </c>
      <c r="H9" s="12" t="str">
        <f>IF(Tabela1[[#This Row],[Fluxo]]="Investmento","Investimento","Operacional")</f>
        <v>Operacional</v>
      </c>
    </row>
    <row r="10" spans="1:8" x14ac:dyDescent="0.3">
      <c r="A10" s="4" t="s">
        <v>17</v>
      </c>
      <c r="C10" s="9">
        <v>46155</v>
      </c>
      <c r="D10" s="10" t="s">
        <v>16</v>
      </c>
      <c r="E10" s="10" t="s">
        <v>17</v>
      </c>
      <c r="F10" s="11">
        <v>100</v>
      </c>
      <c r="G10" s="10" t="str">
        <f>IF(E10="", "", IF(COUNTIF('Aba 2'!$A$5:$A$7, E10)&gt;0, "Entrada", IF(COUNTIF('Aba 2'!$A$11:$A$15, E10)&gt;0, "Saída", "Investimento")))</f>
        <v>Saída</v>
      </c>
      <c r="H10" s="12" t="str">
        <f>IF(Tabela1[[#This Row],[Fluxo]]="Investmento","Investimento","Operacional")</f>
        <v>Operacional</v>
      </c>
    </row>
    <row r="11" spans="1:8" x14ac:dyDescent="0.3">
      <c r="A11" s="4" t="s">
        <v>8</v>
      </c>
      <c r="C11" s="9">
        <v>46155</v>
      </c>
      <c r="D11" s="10" t="s">
        <v>16</v>
      </c>
      <c r="E11" s="10" t="s">
        <v>27</v>
      </c>
      <c r="F11" s="11">
        <v>10</v>
      </c>
      <c r="G11" s="10" t="str">
        <f>IF(E11="", "", IF(COUNTIF('Aba 2'!$A$5:$A$7, E11)&gt;0, "Entrada", IF(COUNTIF('Aba 2'!$A$11:$A$15, E11)&gt;0, "Saída", "Investimento")))</f>
        <v>Investimento</v>
      </c>
      <c r="H11" s="12" t="str">
        <f>IF(Tabela1[[#This Row],[Fluxo]]="Investmento","Investimento","Operacional")</f>
        <v>Operacional</v>
      </c>
    </row>
    <row r="12" spans="1:8" x14ac:dyDescent="0.3">
      <c r="A12" s="4"/>
      <c r="C12" s="13">
        <v>46160</v>
      </c>
      <c r="D12" s="14" t="s">
        <v>16</v>
      </c>
      <c r="E12" s="14" t="s">
        <v>27</v>
      </c>
      <c r="F12" s="15">
        <v>18</v>
      </c>
      <c r="G12" s="10" t="str">
        <f>IF(E12="", "", IF(COUNTIF('Aba 2'!$A$5:$A$7, E12)&gt;0, "Entrada", IF(COUNTIF('Aba 2'!$A$11:$A$15, E12)&gt;0, "Saída", "Investimento")))</f>
        <v>Investimento</v>
      </c>
      <c r="H12" s="16"/>
    </row>
    <row r="13" spans="1:8" x14ac:dyDescent="0.3">
      <c r="A13" s="4" t="s">
        <v>18</v>
      </c>
      <c r="C13" s="13"/>
      <c r="D13" s="14"/>
      <c r="E13" s="14"/>
      <c r="F13" s="15"/>
      <c r="G13" s="10" t="str">
        <f>IF(E13="", "", IF(COUNTIF('Aba 2'!$A$5:$A$7, E13)&gt;0, "Entrada", IF(COUNTIF('Aba 2'!$A$11:$A$15, E13)&gt;0, "Saída", "Investimento")))</f>
        <v/>
      </c>
      <c r="H13" s="16"/>
    </row>
    <row r="14" spans="1:8" x14ac:dyDescent="0.3">
      <c r="A14" s="4" t="s">
        <v>27</v>
      </c>
      <c r="C14" s="13"/>
      <c r="D14" s="14"/>
      <c r="E14" s="14"/>
      <c r="F14" s="15"/>
      <c r="G14" s="10" t="str">
        <f>IF(E14="", "", IF(COUNTIF('Aba 2'!$A$5:$A$7, E14)&gt;0, "Entrada", IF(COUNTIF('Aba 2'!$A$11:$A$15, E14)&gt;0, "Saída", "Investimento")))</f>
        <v/>
      </c>
      <c r="H14" s="16"/>
    </row>
    <row r="15" spans="1:8" x14ac:dyDescent="0.3">
      <c r="A15" s="4" t="s">
        <v>28</v>
      </c>
      <c r="C15" s="13"/>
      <c r="D15" s="14"/>
      <c r="E15" s="14"/>
      <c r="F15" s="15"/>
      <c r="G15" s="10" t="str">
        <f>IF(E15="", "", IF(COUNTIF('Aba 2'!$A$5:$A$7, E15)&gt;0, "Entrada", IF(COUNTIF('Aba 2'!$A$11:$A$15, E15)&gt;0, "Saída", "Investimento")))</f>
        <v/>
      </c>
      <c r="H15" s="16"/>
    </row>
    <row r="16" spans="1:8" x14ac:dyDescent="0.3">
      <c r="A16" s="2"/>
      <c r="C16" s="13"/>
      <c r="D16" s="14"/>
      <c r="E16" s="14"/>
      <c r="F16" s="15"/>
      <c r="G16" s="10" t="str">
        <f>IF(E16="", "", IF(COUNTIF('Aba 2'!$A$5:$A$7, E16)&gt;0, "Entrada", IF(COUNTIF('Aba 2'!$A$11:$A$15, E16)&gt;0, "Saída", "Investimento")))</f>
        <v/>
      </c>
      <c r="H16" s="16"/>
    </row>
    <row r="17" spans="3:8" x14ac:dyDescent="0.3">
      <c r="C17" s="13"/>
      <c r="D17" s="14"/>
      <c r="E17" s="14"/>
      <c r="F17" s="15"/>
      <c r="G17" s="10" t="str">
        <f>IF(E17="", "", IF(COUNTIF('Aba 2'!$A$5:$A$7, E17)&gt;0, "Entrada", IF(COUNTIF('Aba 2'!$A$11:$A$15, E17)&gt;0, "Saída", "Investimento")))</f>
        <v/>
      </c>
      <c r="H17" s="16"/>
    </row>
    <row r="18" spans="3:8" x14ac:dyDescent="0.3">
      <c r="C18" s="13"/>
      <c r="D18" s="14"/>
      <c r="E18" s="14"/>
      <c r="F18" s="15"/>
      <c r="G18" s="14" t="str">
        <f>IF(E18="", "", IF(COUNTIF('Aba 2'!$A$5:$A$7, E18)&gt;0, "Entrada", IF(COUNTIF('Aba 2'!$A$11:$A$15, E18)&gt;0, "Saída", "Investimento")))</f>
        <v/>
      </c>
      <c r="H18" s="16"/>
    </row>
  </sheetData>
  <dataValidations count="1">
    <dataValidation type="list" allowBlank="1" showInputMessage="1" showErrorMessage="1" sqref="E2:E18">
      <formula1>lista1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B3" sqref="B3"/>
    </sheetView>
  </sheetViews>
  <sheetFormatPr defaultRowHeight="16.5" x14ac:dyDescent="0.3"/>
  <cols>
    <col min="1" max="1" width="42" style="1" bestFit="1" customWidth="1"/>
    <col min="2" max="14" width="12.375" style="1" customWidth="1"/>
    <col min="15" max="16384" width="9" style="1"/>
  </cols>
  <sheetData>
    <row r="1" spans="1:14" x14ac:dyDescent="0.3">
      <c r="A1" s="3" t="s">
        <v>19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20</v>
      </c>
    </row>
    <row r="2" spans="1:14" x14ac:dyDescent="0.3">
      <c r="A2" s="3" t="s">
        <v>21</v>
      </c>
      <c r="B2" s="5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3">
      <c r="A3" s="3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3">
      <c r="A4" s="3" t="s">
        <v>22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3">
      <c r="A5" s="3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3">
      <c r="A6" s="3" t="s">
        <v>23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3">
      <c r="A7" s="3" t="s">
        <v>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3">
      <c r="A8" s="3" t="s">
        <v>24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3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3">
      <c r="A10" s="3" t="s">
        <v>25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">
      <c r="A11" s="3" t="s">
        <v>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3">
      <c r="A12" s="3" t="s">
        <v>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">
      <c r="A13" s="3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">
      <c r="A14" s="3" t="s">
        <v>17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">
      <c r="A15" s="3" t="s">
        <v>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3">
      <c r="A16" s="3" t="s">
        <v>26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3">
      <c r="A17" s="3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">
      <c r="A18" s="3" t="s">
        <v>18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3">
      <c r="A19" s="3" t="s">
        <v>27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3">
      <c r="A20" s="3" t="s">
        <v>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">
      <c r="A21" s="3" t="s">
        <v>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3">
      <c r="A22" s="3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3">
      <c r="A23" s="3" t="s">
        <v>30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3">
      <c r="A24" s="3" t="s">
        <v>31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E9" sqref="E9"/>
    </sheetView>
  </sheetViews>
  <sheetFormatPr defaultRowHeight="16.5" x14ac:dyDescent="0.3"/>
  <cols>
    <col min="1" max="1" width="20.625" style="1" bestFit="1" customWidth="1"/>
    <col min="2" max="16384" width="9" style="1"/>
  </cols>
  <sheetData>
    <row r="1" spans="1:1" x14ac:dyDescent="0.3">
      <c r="A1" s="3" t="s">
        <v>6</v>
      </c>
    </row>
    <row r="2" spans="1:1" x14ac:dyDescent="0.3">
      <c r="A2" s="3" t="s">
        <v>23</v>
      </c>
    </row>
    <row r="3" spans="1:1" x14ac:dyDescent="0.3">
      <c r="A3" s="3" t="s">
        <v>9</v>
      </c>
    </row>
    <row r="4" spans="1:1" x14ac:dyDescent="0.3">
      <c r="A4" s="3" t="s">
        <v>14</v>
      </c>
    </row>
    <row r="5" spans="1:1" x14ac:dyDescent="0.3">
      <c r="A5" s="3" t="s">
        <v>13</v>
      </c>
    </row>
    <row r="6" spans="1:1" x14ac:dyDescent="0.3">
      <c r="A6" s="3" t="s">
        <v>11</v>
      </c>
    </row>
    <row r="7" spans="1:1" x14ac:dyDescent="0.3">
      <c r="A7" s="3" t="s">
        <v>17</v>
      </c>
    </row>
    <row r="8" spans="1:1" x14ac:dyDescent="0.3">
      <c r="A8" s="3" t="s">
        <v>8</v>
      </c>
    </row>
    <row r="9" spans="1:1" x14ac:dyDescent="0.3">
      <c r="A9" s="3" t="s">
        <v>27</v>
      </c>
    </row>
    <row r="10" spans="1:1" x14ac:dyDescent="0.3">
      <c r="A10" s="3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</vt:i4>
      </vt:variant>
    </vt:vector>
  </HeadingPairs>
  <TitlesOfParts>
    <vt:vector size="8" baseType="lpstr">
      <vt:lpstr>aba1_entrada_dados</vt:lpstr>
      <vt:lpstr>Aba 2</vt:lpstr>
      <vt:lpstr>aba de apoio</vt:lpstr>
      <vt:lpstr>'Aba 2'!aba2_relatorio_mensal</vt:lpstr>
      <vt:lpstr>entrada</vt:lpstr>
      <vt:lpstr>investimentos</vt:lpstr>
      <vt:lpstr>lista1</vt:lpstr>
      <vt:lpstr>saidas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Lira ֆ</dc:creator>
  <cp:lastModifiedBy>Adriano Lira ֆ</cp:lastModifiedBy>
  <dcterms:created xsi:type="dcterms:W3CDTF">2026-05-12T20:29:36Z</dcterms:created>
  <dcterms:modified xsi:type="dcterms:W3CDTF">2026-05-18T18:56:00Z</dcterms:modified>
</cp:coreProperties>
</file>