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biblioteca\Projetos 2026\Estudos Iniciais\Estudo de dados\SQL\PostgreSQL\Projeto Vendas\Dados\"/>
    </mc:Choice>
  </mc:AlternateContent>
  <bookViews>
    <workbookView xWindow="-60" yWindow="-60" windowWidth="15480" windowHeight="11640"/>
  </bookViews>
  <sheets>
    <sheet name="in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</calcChain>
</file>

<file path=xl/sharedStrings.xml><?xml version="1.0" encoding="utf-8"?>
<sst xmlns="http://schemas.openxmlformats.org/spreadsheetml/2006/main" count="42" uniqueCount="32">
  <si>
    <t>id_venda</t>
  </si>
  <si>
    <t>id_cliente</t>
  </si>
  <si>
    <t>id_vendedor</t>
  </si>
  <si>
    <t>valor</t>
  </si>
  <si>
    <t>data_venda</t>
  </si>
  <si>
    <t>9</t>
  </si>
  <si>
    <t>2</t>
  </si>
  <si>
    <t>10</t>
  </si>
  <si>
    <t>3</t>
  </si>
  <si>
    <t>11</t>
  </si>
  <si>
    <t>12</t>
  </si>
  <si>
    <t>4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</si>
  <si>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</si>
  <si>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</si>
  <si>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</si>
  <si>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</si>
  <si>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</si>
  <si>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</si>
  <si>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</si>
  <si>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</si>
  <si>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</si>
  <si>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</si>
  <si>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</si>
  <si>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</si>
  <si>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</si>
  <si>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</si>
  <si>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</si>
  <si>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</si>
  <si>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id_produto</t>
  </si>
  <si>
    <t>quantidade</t>
  </si>
  <si>
    <t>nome_produto</t>
  </si>
  <si>
    <t>preco_unitario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</si>
</sst>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R$&quot;\ 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7" fillId="29" borderId="0" xfId="38" applyAlignment="1">
      <alignment horizontal="center"/>
    </xf>
    <xf numFmtId="0" fontId="17" fillId="29" borderId="0" xfId="38" applyNumberFormat="1" applyAlignment="1">
      <alignment horizontal="center"/>
    </xf>
    <xf numFmtId="0" fontId="17" fillId="29" borderId="0" xfId="38"/>
    <xf numFmtId="2" fontId="17" fillId="29" borderId="0" xfId="38" applyNumberFormat="1" applyAlignment="1">
      <alignment horizontal="center"/>
    </xf>
    <xf numFmtId="14" fontId="17" fillId="29" borderId="0" xfId="38" applyNumberFormat="1" applyAlignment="1">
      <alignment horizontal="center"/>
    </xf>
    <xf numFmtId="0" fontId="17" fillId="29" borderId="0" xfId="38" applyNumberFormat="1" applyAlignment="1">
      <alignment wrapText="1"/>
    </xf>
    <xf numFmtId="2" fontId="17" fillId="29" borderId="0" xfId="38" applyNumberFormat="1"/>
    <xf numFmtId="0" fontId="17" fillId="29" borderId="0" xfId="38" applyNumberFormat="1"/>
    <xf numFmtId="164" fontId="17" fillId="29" borderId="0" xfId="38" applyNumberFormat="1" applyAlignment="1">
      <alignment horizontal="center"/>
    </xf>
    <xf numFmtId="1" fontId="17" fillId="29" borderId="0" xfId="38" applyNumberFormat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8">
    <dxf>
      <numFmt numFmtId="19" formatCode="dd/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164" formatCode="&quot;R$&quot;\ #,##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164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2" formatCode="0.00"/>
      <alignment horizontal="center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se_produ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parando Tabela de Produtos p"/>
    </sheetNames>
    <sheetDataSet>
      <sheetData sheetId="0">
        <row r="1">
          <cell r="A1" t="str">
            <v>id_produto</v>
          </cell>
          <cell r="B1" t="str">
            <v>nome_produto</v>
          </cell>
          <cell r="C1" t="str">
            <v>preco_unitario</v>
          </cell>
        </row>
        <row r="2">
          <cell r="A2">
            <v>1</v>
          </cell>
          <cell r="B2" t="str">
            <v>Monitor</v>
          </cell>
          <cell r="C2">
            <v>1250</v>
          </cell>
        </row>
        <row r="3">
          <cell r="A3">
            <v>2</v>
          </cell>
          <cell r="B3" t="str">
            <v>Teclado</v>
          </cell>
          <cell r="C3">
            <v>1100</v>
          </cell>
        </row>
        <row r="4">
          <cell r="A4">
            <v>3</v>
          </cell>
          <cell r="B4" t="str">
            <v>Memória RAM</v>
          </cell>
          <cell r="C4">
            <v>1450</v>
          </cell>
        </row>
        <row r="5">
          <cell r="A5">
            <v>4</v>
          </cell>
          <cell r="B5" t="str">
            <v>SSD</v>
          </cell>
          <cell r="C5">
            <v>1150</v>
          </cell>
        </row>
        <row r="6">
          <cell r="A6">
            <v>5</v>
          </cell>
          <cell r="B6" t="str">
            <v>Placa-Mãe</v>
          </cell>
          <cell r="C6">
            <v>1350</v>
          </cell>
        </row>
        <row r="7">
          <cell r="A7">
            <v>6</v>
          </cell>
          <cell r="B7" t="str">
            <v>Processador</v>
          </cell>
          <cell r="C7">
            <v>1850</v>
          </cell>
        </row>
        <row r="8">
          <cell r="A8">
            <v>7</v>
          </cell>
          <cell r="B8" t="str">
            <v>Gabinete</v>
          </cell>
          <cell r="C8">
            <v>1050</v>
          </cell>
        </row>
        <row r="9">
          <cell r="A9">
            <v>8</v>
          </cell>
          <cell r="B9" t="str">
            <v>Fonte</v>
          </cell>
          <cell r="C9">
            <v>1200</v>
          </cell>
        </row>
        <row r="10">
          <cell r="A10">
            <v>9</v>
          </cell>
          <cell r="B10" t="str">
            <v>Notebook</v>
          </cell>
          <cell r="C10">
            <v>2850</v>
          </cell>
        </row>
        <row r="11">
          <cell r="A11">
            <v>10</v>
          </cell>
          <cell r="B11" t="str">
            <v>Placa de Vídeo</v>
          </cell>
          <cell r="C11">
            <v>2950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ela1" displayName="Tabela1" ref="A1:I31" headerRowDxfId="17" dataDxfId="16" totalsRowDxfId="15" headerRowCellStyle="Ênfase6" dataCellStyle="Ênfase6" totalsRowCellStyle="Ênfase6">
  <autoFilter ref="A1:I31"/>
  <tableColumns count="9">
    <tableColumn id="1" name="id_venda" dataDxfId="14" totalsRowDxfId="13" dataCellStyle="Ênfase6"/>
    <tableColumn id="2" name="id_cliente" dataDxfId="12" totalsRowDxfId="11" dataCellStyle="Ênfase6"/>
    <tableColumn id="3" name="id_vendedor" dataDxfId="10" totalsRowDxfId="9" dataCellStyle="Ênfase6"/>
    <tableColumn id="6" name="id_produto" dataDxfId="8" dataCellStyle="Ênfase6"/>
    <tableColumn id="4" name="nome_produto" totalsRowFunction="custom" dataDxfId="7" totalsRowDxfId="6" dataCellStyle="Ênfase6">
      <calculatedColumnFormula>VLOOKUP(Tabela1[[#This Row],[id_produto]],'[1]Preparando Tabela de Produtos p'!$A$1:$C$11,2,0)</calculatedColumnFormula>
      <totalsRowFormula>SUBTOTAL(109,E2:E31)</totalsRowFormula>
    </tableColumn>
    <tableColumn id="9" name="preco_unitario" dataDxfId="5" totalsRowDxfId="4" dataCellStyle="Ênfase6">
      <calculatedColumnFormula>VLOOKUP(Tabela1[[#This Row],[id_produto]],'[1]Preparando Tabela de Produtos p'!$A$1:$C$11,3,0)</calculatedColumnFormula>
    </tableColumn>
    <tableColumn id="10" name="quantidade" dataDxfId="3" dataCellStyle="Ênfase6"/>
    <tableColumn id="8" name="valor" dataDxfId="2" totalsRowDxfId="1" dataCellStyle="Ênfase6">
      <calculatedColumnFormula>Tabela1[[#This Row],[quantidade]]*Tabela1[[#This Row],[preco_unitario]]</calculatedColumnFormula>
    </tableColumn>
    <tableColumn id="5" name="data_venda" dataDxfId="0" dataCellStyle="Ênfase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Escala de Cinza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abSelected="1" workbookViewId="0">
      <selection activeCell="L16" sqref="L16"/>
    </sheetView>
  </sheetViews>
  <sheetFormatPr defaultRowHeight="15" x14ac:dyDescent="0.25"/>
  <cols>
    <col min="1" max="3" width="16.28515625" style="3" customWidth="1"/>
    <col min="4" max="7" width="16.28515625" style="7" customWidth="1"/>
    <col min="8" max="8" width="16.28515625" style="3" customWidth="1"/>
    <col min="9" max="9" width="15.85546875" style="3" bestFit="1" customWidth="1"/>
    <col min="10" max="11" width="9.28515625" style="3" customWidth="1"/>
    <col min="12" max="12" width="13.28515625" style="3" customWidth="1"/>
    <col min="13" max="22" width="9.28515625" style="3" customWidth="1"/>
    <col min="23" max="16384" width="9.140625" style="3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28</v>
      </c>
      <c r="E1" s="2" t="s">
        <v>30</v>
      </c>
      <c r="F1" s="2" t="s">
        <v>31</v>
      </c>
      <c r="G1" s="2" t="s">
        <v>29</v>
      </c>
      <c r="H1" s="1" t="s">
        <v>3</v>
      </c>
      <c r="I1" s="1" t="s">
        <v>4</v>
      </c>
    </row>
    <row r="2" spans="1:13" x14ac:dyDescent="0.25">
      <c r="A2" s="1">
        <v>2</v>
      </c>
      <c r="B2" s="1">
        <v>2</v>
      </c>
      <c r="C2" s="1">
        <v>2</v>
      </c>
      <c r="D2" s="1">
        <v>10</v>
      </c>
      <c r="E2" s="4" t="str">
        <f>VLOOKUP(Tabela1[[#This Row],[id_produto]],'[1]Preparando Tabela de Produtos p'!$A$1:$C$11,2,0)</f>
        <v>Placa de Vídeo</v>
      </c>
      <c r="F2" s="9">
        <f>VLOOKUP(Tabela1[[#This Row],[id_produto]],'[1]Preparando Tabela de Produtos p'!$A$1:$C$11,3,0)</f>
        <v>2950</v>
      </c>
      <c r="G2" s="10">
        <v>2</v>
      </c>
      <c r="H2" s="9">
        <f>Tabela1[[#This Row],[quantidade]]*Tabela1[[#This Row],[preco_unitario]]</f>
        <v>5900</v>
      </c>
      <c r="I2" s="5">
        <v>46347</v>
      </c>
      <c r="M2" s="8"/>
    </row>
    <row r="3" spans="1:13" x14ac:dyDescent="0.25">
      <c r="A3" s="1">
        <v>3</v>
      </c>
      <c r="B3" s="1">
        <v>3</v>
      </c>
      <c r="C3" s="1">
        <v>3</v>
      </c>
      <c r="D3" s="1">
        <v>4</v>
      </c>
      <c r="E3" s="4" t="str">
        <f>VLOOKUP(Tabela1[[#This Row],[id_produto]],'[1]Preparando Tabela de Produtos p'!$A$1:$C$11,2,0)</f>
        <v>SSD</v>
      </c>
      <c r="F3" s="9">
        <f>VLOOKUP(Tabela1[[#This Row],[id_produto]],'[1]Preparando Tabela de Produtos p'!$A$1:$C$11,3,0)</f>
        <v>1150</v>
      </c>
      <c r="G3" s="10">
        <v>1</v>
      </c>
      <c r="H3" s="9">
        <f>Tabela1[[#This Row],[quantidade]]*Tabela1[[#This Row],[preco_unitario]]</f>
        <v>1150</v>
      </c>
      <c r="I3" s="5">
        <v>46024</v>
      </c>
      <c r="M3" s="8"/>
    </row>
    <row r="4" spans="1:13" x14ac:dyDescent="0.25">
      <c r="A4" s="1">
        <v>4</v>
      </c>
      <c r="B4" s="1">
        <v>4</v>
      </c>
      <c r="C4" s="1">
        <v>4</v>
      </c>
      <c r="D4" s="1">
        <v>7</v>
      </c>
      <c r="E4" s="4" t="str">
        <f>VLOOKUP(Tabela1[[#This Row],[id_produto]],'[1]Preparando Tabela de Produtos p'!$A$1:$C$11,2,0)</f>
        <v>Gabinete</v>
      </c>
      <c r="F4" s="9">
        <f>VLOOKUP(Tabela1[[#This Row],[id_produto]],'[1]Preparando Tabela de Produtos p'!$A$1:$C$11,3,0)</f>
        <v>1050</v>
      </c>
      <c r="G4" s="10">
        <v>1</v>
      </c>
      <c r="H4" s="9">
        <f>Tabela1[[#This Row],[quantidade]]*Tabela1[[#This Row],[preco_unitario]]</f>
        <v>1050</v>
      </c>
      <c r="I4" s="5">
        <v>46329</v>
      </c>
      <c r="M4" s="8"/>
    </row>
    <row r="5" spans="1:13" x14ac:dyDescent="0.25">
      <c r="A5" s="1">
        <v>5</v>
      </c>
      <c r="B5" s="1">
        <v>5</v>
      </c>
      <c r="C5" s="1">
        <v>5</v>
      </c>
      <c r="D5" s="1">
        <v>6</v>
      </c>
      <c r="E5" s="4" t="str">
        <f>VLOOKUP(Tabela1[[#This Row],[id_produto]],'[1]Preparando Tabela de Produtos p'!$A$1:$C$11,2,0)</f>
        <v>Processador</v>
      </c>
      <c r="F5" s="9">
        <f>VLOOKUP(Tabela1[[#This Row],[id_produto]],'[1]Preparando Tabela de Produtos p'!$A$1:$C$11,3,0)</f>
        <v>1850</v>
      </c>
      <c r="G5" s="10">
        <v>1</v>
      </c>
      <c r="H5" s="9">
        <f>Tabela1[[#This Row],[quantidade]]*Tabela1[[#This Row],[preco_unitario]]</f>
        <v>1850</v>
      </c>
      <c r="I5" s="5">
        <v>46255</v>
      </c>
      <c r="M5" s="8"/>
    </row>
    <row r="6" spans="1:13" x14ac:dyDescent="0.25">
      <c r="A6" s="1">
        <v>6</v>
      </c>
      <c r="B6" s="1">
        <v>6</v>
      </c>
      <c r="C6" s="1">
        <v>6</v>
      </c>
      <c r="D6" s="1">
        <v>4</v>
      </c>
      <c r="E6" s="4" t="str">
        <f>VLOOKUP(Tabela1[[#This Row],[id_produto]],'[1]Preparando Tabela de Produtos p'!$A$1:$C$11,2,0)</f>
        <v>SSD</v>
      </c>
      <c r="F6" s="9">
        <f>VLOOKUP(Tabela1[[#This Row],[id_produto]],'[1]Preparando Tabela de Produtos p'!$A$1:$C$11,3,0)</f>
        <v>1150</v>
      </c>
      <c r="G6" s="10">
        <v>2</v>
      </c>
      <c r="H6" s="9">
        <f>Tabela1[[#This Row],[quantidade]]*Tabela1[[#This Row],[preco_unitario]]</f>
        <v>2300</v>
      </c>
      <c r="I6" s="5">
        <v>46198</v>
      </c>
      <c r="M6" s="8"/>
    </row>
    <row r="7" spans="1:13" x14ac:dyDescent="0.25">
      <c r="A7" s="1">
        <v>7</v>
      </c>
      <c r="B7" s="1">
        <v>7</v>
      </c>
      <c r="C7" s="1">
        <v>7</v>
      </c>
      <c r="D7" s="1">
        <v>8</v>
      </c>
      <c r="E7" s="4" t="str">
        <f>VLOOKUP(Tabela1[[#This Row],[id_produto]],'[1]Preparando Tabela de Produtos p'!$A$1:$C$11,2,0)</f>
        <v>Fonte</v>
      </c>
      <c r="F7" s="9">
        <f>VLOOKUP(Tabela1[[#This Row],[id_produto]],'[1]Preparando Tabela de Produtos p'!$A$1:$C$11,3,0)</f>
        <v>1200</v>
      </c>
      <c r="G7" s="10">
        <v>2</v>
      </c>
      <c r="H7" s="9">
        <f>Tabela1[[#This Row],[quantidade]]*Tabela1[[#This Row],[preco_unitario]]</f>
        <v>2400</v>
      </c>
      <c r="I7" s="5">
        <v>46159</v>
      </c>
      <c r="M7" s="8"/>
    </row>
    <row r="8" spans="1:13" x14ac:dyDescent="0.25">
      <c r="A8" s="1">
        <v>8</v>
      </c>
      <c r="B8" s="1">
        <v>8</v>
      </c>
      <c r="C8" s="1">
        <v>2</v>
      </c>
      <c r="D8" s="1">
        <v>6</v>
      </c>
      <c r="E8" s="4" t="str">
        <f>VLOOKUP(Tabela1[[#This Row],[id_produto]],'[1]Preparando Tabela de Produtos p'!$A$1:$C$11,2,0)</f>
        <v>Processador</v>
      </c>
      <c r="F8" s="9">
        <f>VLOOKUP(Tabela1[[#This Row],[id_produto]],'[1]Preparando Tabela de Produtos p'!$A$1:$C$11,3,0)</f>
        <v>1850</v>
      </c>
      <c r="G8" s="10">
        <v>3</v>
      </c>
      <c r="H8" s="9">
        <f>Tabela1[[#This Row],[quantidade]]*Tabela1[[#This Row],[preco_unitario]]</f>
        <v>5550</v>
      </c>
      <c r="I8" s="5">
        <v>46237</v>
      </c>
      <c r="J8" s="6"/>
      <c r="M8" s="8"/>
    </row>
    <row r="9" spans="1:13" x14ac:dyDescent="0.25">
      <c r="A9" s="1" t="s">
        <v>5</v>
      </c>
      <c r="B9" s="1">
        <v>9</v>
      </c>
      <c r="C9" s="1">
        <v>3</v>
      </c>
      <c r="D9" s="1">
        <v>3</v>
      </c>
      <c r="E9" s="4" t="str">
        <f>VLOOKUP(Tabela1[[#This Row],[id_produto]],'[1]Preparando Tabela de Produtos p'!$A$1:$C$11,2,0)</f>
        <v>Memória RAM</v>
      </c>
      <c r="F9" s="9">
        <f>VLOOKUP(Tabela1[[#This Row],[id_produto]],'[1]Preparando Tabela de Produtos p'!$A$1:$C$11,3,0)</f>
        <v>1450</v>
      </c>
      <c r="G9" s="10">
        <v>3</v>
      </c>
      <c r="H9" s="9">
        <f>Tabela1[[#This Row],[quantidade]]*Tabela1[[#This Row],[preco_unitario]]</f>
        <v>4350</v>
      </c>
      <c r="I9" s="5">
        <v>46050</v>
      </c>
      <c r="M9" s="8"/>
    </row>
    <row r="10" spans="1:13" x14ac:dyDescent="0.25">
      <c r="A10" s="1" t="s">
        <v>7</v>
      </c>
      <c r="B10" s="1" t="s">
        <v>8</v>
      </c>
      <c r="C10" s="1">
        <v>4</v>
      </c>
      <c r="D10" s="1">
        <v>1</v>
      </c>
      <c r="E10" s="4" t="str">
        <f>VLOOKUP(Tabela1[[#This Row],[id_produto]],'[1]Preparando Tabela de Produtos p'!$A$1:$C$11,2,0)</f>
        <v>Monitor</v>
      </c>
      <c r="F10" s="9">
        <f>VLOOKUP(Tabela1[[#This Row],[id_produto]],'[1]Preparando Tabela de Produtos p'!$A$1:$C$11,3,0)</f>
        <v>1250</v>
      </c>
      <c r="G10" s="10">
        <v>2</v>
      </c>
      <c r="H10" s="9">
        <f>Tabela1[[#This Row],[quantidade]]*Tabela1[[#This Row],[preco_unitario]]</f>
        <v>2500</v>
      </c>
      <c r="I10" s="5">
        <v>46088</v>
      </c>
      <c r="M10" s="8"/>
    </row>
    <row r="11" spans="1:13" x14ac:dyDescent="0.25">
      <c r="A11" s="1" t="s">
        <v>9</v>
      </c>
      <c r="B11" s="1" t="s">
        <v>6</v>
      </c>
      <c r="C11" s="1">
        <v>5</v>
      </c>
      <c r="D11" s="1">
        <v>1</v>
      </c>
      <c r="E11" s="4" t="str">
        <f>VLOOKUP(Tabela1[[#This Row],[id_produto]],'[1]Preparando Tabela de Produtos p'!$A$1:$C$11,2,0)</f>
        <v>Monitor</v>
      </c>
      <c r="F11" s="9">
        <f>VLOOKUP(Tabela1[[#This Row],[id_produto]],'[1]Preparando Tabela de Produtos p'!$A$1:$C$11,3,0)</f>
        <v>1250</v>
      </c>
      <c r="G11" s="10">
        <v>3</v>
      </c>
      <c r="H11" s="9">
        <f>Tabela1[[#This Row],[quantidade]]*Tabela1[[#This Row],[preco_unitario]]</f>
        <v>3750</v>
      </c>
      <c r="I11" s="5">
        <v>46323</v>
      </c>
      <c r="M11" s="8"/>
    </row>
    <row r="12" spans="1:13" x14ac:dyDescent="0.25">
      <c r="A12" s="1" t="s">
        <v>10</v>
      </c>
      <c r="B12" s="1" t="s">
        <v>11</v>
      </c>
      <c r="C12" s="1">
        <v>6</v>
      </c>
      <c r="D12" s="1">
        <v>7</v>
      </c>
      <c r="E12" s="4" t="str">
        <f>VLOOKUP(Tabela1[[#This Row],[id_produto]],'[1]Preparando Tabela de Produtos p'!$A$1:$C$11,2,0)</f>
        <v>Gabinete</v>
      </c>
      <c r="F12" s="9">
        <f>VLOOKUP(Tabela1[[#This Row],[id_produto]],'[1]Preparando Tabela de Produtos p'!$A$1:$C$11,3,0)</f>
        <v>1050</v>
      </c>
      <c r="G12" s="10">
        <v>1</v>
      </c>
      <c r="H12" s="9">
        <f>Tabela1[[#This Row],[quantidade]]*Tabela1[[#This Row],[preco_unitario]]</f>
        <v>1050</v>
      </c>
      <c r="I12" s="5">
        <v>46148</v>
      </c>
      <c r="M12" s="8"/>
    </row>
    <row r="13" spans="1:13" x14ac:dyDescent="0.25">
      <c r="A13" s="1" t="s">
        <v>12</v>
      </c>
      <c r="B13" s="1">
        <v>5</v>
      </c>
      <c r="C13" s="1">
        <v>7</v>
      </c>
      <c r="D13" s="1">
        <v>7</v>
      </c>
      <c r="E13" s="4" t="str">
        <f>VLOOKUP(Tabela1[[#This Row],[id_produto]],'[1]Preparando Tabela de Produtos p'!$A$1:$C$11,2,0)</f>
        <v>Gabinete</v>
      </c>
      <c r="F13" s="9">
        <f>VLOOKUP(Tabela1[[#This Row],[id_produto]],'[1]Preparando Tabela de Produtos p'!$A$1:$C$11,3,0)</f>
        <v>1050</v>
      </c>
      <c r="G13" s="10">
        <v>2</v>
      </c>
      <c r="H13" s="9">
        <f>Tabela1[[#This Row],[quantidade]]*Tabela1[[#This Row],[preco_unitario]]</f>
        <v>2100</v>
      </c>
      <c r="I13" s="5">
        <v>46098</v>
      </c>
      <c r="M13" s="8"/>
    </row>
    <row r="14" spans="1:13" x14ac:dyDescent="0.25">
      <c r="A14" s="1" t="s">
        <v>13</v>
      </c>
      <c r="B14" s="1">
        <v>6</v>
      </c>
      <c r="C14" s="1">
        <v>2</v>
      </c>
      <c r="D14" s="1">
        <v>7</v>
      </c>
      <c r="E14" s="4" t="str">
        <f>VLOOKUP(Tabela1[[#This Row],[id_produto]],'[1]Preparando Tabela de Produtos p'!$A$1:$C$11,2,0)</f>
        <v>Gabinete</v>
      </c>
      <c r="F14" s="9">
        <f>VLOOKUP(Tabela1[[#This Row],[id_produto]],'[1]Preparando Tabela de Produtos p'!$A$1:$C$11,3,0)</f>
        <v>1050</v>
      </c>
      <c r="G14" s="10">
        <v>3</v>
      </c>
      <c r="H14" s="9">
        <f>Tabela1[[#This Row],[quantidade]]*Tabela1[[#This Row],[preco_unitario]]</f>
        <v>3150</v>
      </c>
      <c r="I14" s="5">
        <v>46278</v>
      </c>
      <c r="M14" s="8"/>
    </row>
    <row r="15" spans="1:13" x14ac:dyDescent="0.25">
      <c r="A15" s="1" t="s">
        <v>14</v>
      </c>
      <c r="B15" s="1">
        <v>7</v>
      </c>
      <c r="C15" s="1" t="s">
        <v>8</v>
      </c>
      <c r="D15" s="1">
        <v>3</v>
      </c>
      <c r="E15" s="4" t="str">
        <f>VLOOKUP(Tabela1[[#This Row],[id_produto]],'[1]Preparando Tabela de Produtos p'!$A$1:$C$11,2,0)</f>
        <v>Memória RAM</v>
      </c>
      <c r="F15" s="9">
        <f>VLOOKUP(Tabela1[[#This Row],[id_produto]],'[1]Preparando Tabela de Produtos p'!$A$1:$C$11,3,0)</f>
        <v>1450</v>
      </c>
      <c r="G15" s="10">
        <v>2</v>
      </c>
      <c r="H15" s="9">
        <f>Tabela1[[#This Row],[quantidade]]*Tabela1[[#This Row],[preco_unitario]]</f>
        <v>2900</v>
      </c>
      <c r="I15" s="5">
        <v>46193</v>
      </c>
      <c r="M15" s="8"/>
    </row>
    <row r="16" spans="1:13" x14ac:dyDescent="0.25">
      <c r="A16" s="1" t="s">
        <v>15</v>
      </c>
      <c r="B16" s="1">
        <v>8</v>
      </c>
      <c r="C16" s="1">
        <v>4</v>
      </c>
      <c r="D16" s="1">
        <v>3</v>
      </c>
      <c r="E16" s="4" t="str">
        <f>VLOOKUP(Tabela1[[#This Row],[id_produto]],'[1]Preparando Tabela de Produtos p'!$A$1:$C$11,2,0)</f>
        <v>Memória RAM</v>
      </c>
      <c r="F16" s="9">
        <f>VLOOKUP(Tabela1[[#This Row],[id_produto]],'[1]Preparando Tabela de Produtos p'!$A$1:$C$11,3,0)</f>
        <v>1450</v>
      </c>
      <c r="G16" s="10">
        <v>1</v>
      </c>
      <c r="H16" s="9">
        <f>Tabela1[[#This Row],[quantidade]]*Tabela1[[#This Row],[preco_unitario]]</f>
        <v>1450</v>
      </c>
      <c r="I16" s="5">
        <v>46287</v>
      </c>
      <c r="M16" s="8"/>
    </row>
    <row r="17" spans="1:13" x14ac:dyDescent="0.25">
      <c r="A17" s="1" t="s">
        <v>16</v>
      </c>
      <c r="B17" s="1">
        <v>9</v>
      </c>
      <c r="C17" s="1">
        <v>5</v>
      </c>
      <c r="D17" s="1">
        <v>3</v>
      </c>
      <c r="E17" s="4" t="str">
        <f>VLOOKUP(Tabela1[[#This Row],[id_produto]],'[1]Preparando Tabela de Produtos p'!$A$1:$C$11,2,0)</f>
        <v>Memória RAM</v>
      </c>
      <c r="F17" s="9">
        <f>VLOOKUP(Tabela1[[#This Row],[id_produto]],'[1]Preparando Tabela de Produtos p'!$A$1:$C$11,3,0)</f>
        <v>1450</v>
      </c>
      <c r="G17" s="10">
        <v>2</v>
      </c>
      <c r="H17" s="9">
        <f>Tabela1[[#This Row],[quantidade]]*Tabela1[[#This Row],[preco_unitario]]</f>
        <v>2900</v>
      </c>
      <c r="I17" s="5">
        <v>46133</v>
      </c>
      <c r="M17" s="8"/>
    </row>
    <row r="18" spans="1:13" x14ac:dyDescent="0.25">
      <c r="A18" s="1" t="s">
        <v>17</v>
      </c>
      <c r="B18" s="1" t="s">
        <v>8</v>
      </c>
      <c r="C18" s="1">
        <v>6</v>
      </c>
      <c r="D18" s="1">
        <v>6</v>
      </c>
      <c r="E18" s="4" t="str">
        <f>VLOOKUP(Tabela1[[#This Row],[id_produto]],'[1]Preparando Tabela de Produtos p'!$A$1:$C$11,2,0)</f>
        <v>Processador</v>
      </c>
      <c r="F18" s="9">
        <f>VLOOKUP(Tabela1[[#This Row],[id_produto]],'[1]Preparando Tabela de Produtos p'!$A$1:$C$11,3,0)</f>
        <v>1850</v>
      </c>
      <c r="G18" s="10">
        <v>1</v>
      </c>
      <c r="H18" s="9">
        <f>Tabela1[[#This Row],[quantidade]]*Tabela1[[#This Row],[preco_unitario]]</f>
        <v>1850</v>
      </c>
      <c r="I18" s="5">
        <v>46286</v>
      </c>
      <c r="M18" s="8"/>
    </row>
    <row r="19" spans="1:13" x14ac:dyDescent="0.25">
      <c r="A19" s="1" t="s">
        <v>18</v>
      </c>
      <c r="B19" s="1" t="s">
        <v>6</v>
      </c>
      <c r="C19" s="1">
        <v>7</v>
      </c>
      <c r="D19" s="1">
        <v>9</v>
      </c>
      <c r="E19" s="4" t="str">
        <f>VLOOKUP(Tabela1[[#This Row],[id_produto]],'[1]Preparando Tabela de Produtos p'!$A$1:$C$11,2,0)</f>
        <v>Notebook</v>
      </c>
      <c r="F19" s="9">
        <f>VLOOKUP(Tabela1[[#This Row],[id_produto]],'[1]Preparando Tabela de Produtos p'!$A$1:$C$11,3,0)</f>
        <v>2850</v>
      </c>
      <c r="G19" s="10">
        <v>1</v>
      </c>
      <c r="H19" s="9">
        <f>Tabela1[[#This Row],[quantidade]]*Tabela1[[#This Row],[preco_unitario]]</f>
        <v>2850</v>
      </c>
      <c r="I19" s="5">
        <v>46260</v>
      </c>
      <c r="M19" s="8"/>
    </row>
    <row r="20" spans="1:13" x14ac:dyDescent="0.25">
      <c r="A20" s="1" t="s">
        <v>19</v>
      </c>
      <c r="B20" s="1" t="s">
        <v>11</v>
      </c>
      <c r="C20" s="1" t="s">
        <v>6</v>
      </c>
      <c r="D20" s="1">
        <v>2</v>
      </c>
      <c r="E20" s="4" t="str">
        <f>VLOOKUP(Tabela1[[#This Row],[id_produto]],'[1]Preparando Tabela de Produtos p'!$A$1:$C$11,2,0)</f>
        <v>Teclado</v>
      </c>
      <c r="F20" s="9">
        <f>VLOOKUP(Tabela1[[#This Row],[id_produto]],'[1]Preparando Tabela de Produtos p'!$A$1:$C$11,3,0)</f>
        <v>1100</v>
      </c>
      <c r="G20" s="10">
        <v>3</v>
      </c>
      <c r="H20" s="9">
        <f>Tabela1[[#This Row],[quantidade]]*Tabela1[[#This Row],[preco_unitario]]</f>
        <v>3300</v>
      </c>
      <c r="I20" s="5">
        <v>46228</v>
      </c>
      <c r="M20" s="8"/>
    </row>
    <row r="21" spans="1:13" x14ac:dyDescent="0.25">
      <c r="A21" s="1" t="s">
        <v>20</v>
      </c>
      <c r="B21" s="1">
        <v>5</v>
      </c>
      <c r="C21" s="1" t="s">
        <v>8</v>
      </c>
      <c r="D21" s="1">
        <v>10</v>
      </c>
      <c r="E21" s="4" t="str">
        <f>VLOOKUP(Tabela1[[#This Row],[id_produto]],'[1]Preparando Tabela de Produtos p'!$A$1:$C$11,2,0)</f>
        <v>Placa de Vídeo</v>
      </c>
      <c r="F21" s="9">
        <f>VLOOKUP(Tabela1[[#This Row],[id_produto]],'[1]Preparando Tabela de Produtos p'!$A$1:$C$11,3,0)</f>
        <v>2950</v>
      </c>
      <c r="G21" s="10">
        <v>3</v>
      </c>
      <c r="H21" s="9">
        <f>Tabela1[[#This Row],[quantidade]]*Tabela1[[#This Row],[preco_unitario]]</f>
        <v>8850</v>
      </c>
      <c r="I21" s="5">
        <v>46362</v>
      </c>
      <c r="M21" s="8"/>
    </row>
    <row r="22" spans="1:13" x14ac:dyDescent="0.25">
      <c r="A22" s="1" t="s">
        <v>21</v>
      </c>
      <c r="B22" s="1">
        <v>6</v>
      </c>
      <c r="C22" s="1">
        <v>4</v>
      </c>
      <c r="D22" s="1">
        <v>8</v>
      </c>
      <c r="E22" s="4" t="str">
        <f>VLOOKUP(Tabela1[[#This Row],[id_produto]],'[1]Preparando Tabela de Produtos p'!$A$1:$C$11,2,0)</f>
        <v>Fonte</v>
      </c>
      <c r="F22" s="9">
        <f>VLOOKUP(Tabela1[[#This Row],[id_produto]],'[1]Preparando Tabela de Produtos p'!$A$1:$C$11,3,0)</f>
        <v>1200</v>
      </c>
      <c r="G22" s="10">
        <v>1</v>
      </c>
      <c r="H22" s="9">
        <f>Tabela1[[#This Row],[quantidade]]*Tabela1[[#This Row],[preco_unitario]]</f>
        <v>1200</v>
      </c>
      <c r="I22" s="5">
        <v>46132</v>
      </c>
      <c r="M22" s="8"/>
    </row>
    <row r="23" spans="1:13" x14ac:dyDescent="0.25">
      <c r="A23" s="1" t="s">
        <v>22</v>
      </c>
      <c r="B23" s="1">
        <v>7</v>
      </c>
      <c r="C23" s="1">
        <v>5</v>
      </c>
      <c r="D23" s="1">
        <v>4</v>
      </c>
      <c r="E23" s="4" t="str">
        <f>VLOOKUP(Tabela1[[#This Row],[id_produto]],'[1]Preparando Tabela de Produtos p'!$A$1:$C$11,2,0)</f>
        <v>SSD</v>
      </c>
      <c r="F23" s="9">
        <f>VLOOKUP(Tabela1[[#This Row],[id_produto]],'[1]Preparando Tabela de Produtos p'!$A$1:$C$11,3,0)</f>
        <v>1150</v>
      </c>
      <c r="G23" s="10">
        <v>2</v>
      </c>
      <c r="H23" s="9">
        <f>Tabela1[[#This Row],[quantidade]]*Tabela1[[#This Row],[preco_unitario]]</f>
        <v>2300</v>
      </c>
      <c r="I23" s="5">
        <v>46218</v>
      </c>
      <c r="M23" s="8"/>
    </row>
    <row r="24" spans="1:13" x14ac:dyDescent="0.25">
      <c r="A24" s="1" t="s">
        <v>23</v>
      </c>
      <c r="B24" s="1">
        <v>8</v>
      </c>
      <c r="C24" s="1">
        <v>6</v>
      </c>
      <c r="D24" s="1">
        <v>5</v>
      </c>
      <c r="E24" s="4" t="str">
        <f>VLOOKUP(Tabela1[[#This Row],[id_produto]],'[1]Preparando Tabela de Produtos p'!$A$1:$C$11,2,0)</f>
        <v>Placa-Mãe</v>
      </c>
      <c r="F24" s="9">
        <f>VLOOKUP(Tabela1[[#This Row],[id_produto]],'[1]Preparando Tabela de Produtos p'!$A$1:$C$11,3,0)</f>
        <v>1350</v>
      </c>
      <c r="G24" s="10">
        <v>1</v>
      </c>
      <c r="H24" s="9">
        <f>Tabela1[[#This Row],[quantidade]]*Tabela1[[#This Row],[preco_unitario]]</f>
        <v>1350</v>
      </c>
      <c r="I24" s="5">
        <v>46378</v>
      </c>
      <c r="M24" s="8"/>
    </row>
    <row r="25" spans="1:13" x14ac:dyDescent="0.25">
      <c r="A25" s="1" t="s">
        <v>24</v>
      </c>
      <c r="B25" s="1">
        <v>9</v>
      </c>
      <c r="C25" s="1">
        <v>7</v>
      </c>
      <c r="D25" s="1">
        <v>3</v>
      </c>
      <c r="E25" s="4" t="str">
        <f>VLOOKUP(Tabela1[[#This Row],[id_produto]],'[1]Preparando Tabela de Produtos p'!$A$1:$C$11,2,0)</f>
        <v>Memória RAM</v>
      </c>
      <c r="F25" s="9">
        <f>VLOOKUP(Tabela1[[#This Row],[id_produto]],'[1]Preparando Tabela de Produtos p'!$A$1:$C$11,3,0)</f>
        <v>1450</v>
      </c>
      <c r="G25" s="10">
        <v>3</v>
      </c>
      <c r="H25" s="9">
        <f>Tabela1[[#This Row],[quantidade]]*Tabela1[[#This Row],[preco_unitario]]</f>
        <v>4350</v>
      </c>
      <c r="I25" s="5">
        <v>46068</v>
      </c>
      <c r="M25" s="8"/>
    </row>
    <row r="26" spans="1:13" x14ac:dyDescent="0.25">
      <c r="A26" s="1" t="s">
        <v>25</v>
      </c>
      <c r="B26" s="1" t="s">
        <v>8</v>
      </c>
      <c r="C26" s="1" t="s">
        <v>6</v>
      </c>
      <c r="D26" s="1">
        <v>5</v>
      </c>
      <c r="E26" s="4" t="str">
        <f>VLOOKUP(Tabela1[[#This Row],[id_produto]],'[1]Preparando Tabela de Produtos p'!$A$1:$C$11,2,0)</f>
        <v>Placa-Mãe</v>
      </c>
      <c r="F26" s="9">
        <f>VLOOKUP(Tabela1[[#This Row],[id_produto]],'[1]Preparando Tabela de Produtos p'!$A$1:$C$11,3,0)</f>
        <v>1350</v>
      </c>
      <c r="G26" s="10">
        <v>1</v>
      </c>
      <c r="H26" s="9">
        <f>Tabela1[[#This Row],[quantidade]]*Tabela1[[#This Row],[preco_unitario]]</f>
        <v>1350</v>
      </c>
      <c r="I26" s="5">
        <v>46109</v>
      </c>
      <c r="M26" s="8"/>
    </row>
    <row r="27" spans="1:13" x14ac:dyDescent="0.25">
      <c r="A27" s="1" t="s">
        <v>26</v>
      </c>
      <c r="B27" s="1" t="s">
        <v>6</v>
      </c>
      <c r="C27" s="1">
        <v>3</v>
      </c>
      <c r="D27" s="1">
        <v>8</v>
      </c>
      <c r="E27" s="4" t="str">
        <f>VLOOKUP(Tabela1[[#This Row],[id_produto]],'[1]Preparando Tabela de Produtos p'!$A$1:$C$11,2,0)</f>
        <v>Fonte</v>
      </c>
      <c r="F27" s="9">
        <f>VLOOKUP(Tabela1[[#This Row],[id_produto]],'[1]Preparando Tabela de Produtos p'!$A$1:$C$11,3,0)</f>
        <v>1200</v>
      </c>
      <c r="G27" s="10">
        <v>3</v>
      </c>
      <c r="H27" s="9">
        <f>Tabela1[[#This Row],[quantidade]]*Tabela1[[#This Row],[preco_unitario]]</f>
        <v>3600</v>
      </c>
      <c r="I27" s="5">
        <v>46088</v>
      </c>
      <c r="M27" s="8"/>
    </row>
    <row r="28" spans="1:13" x14ac:dyDescent="0.25">
      <c r="A28" s="1" t="s">
        <v>27</v>
      </c>
      <c r="B28" s="1" t="s">
        <v>11</v>
      </c>
      <c r="C28" s="1">
        <v>4</v>
      </c>
      <c r="D28" s="1">
        <v>7</v>
      </c>
      <c r="E28" s="4" t="str">
        <f>VLOOKUP(Tabela1[[#This Row],[id_produto]],'[1]Preparando Tabela de Produtos p'!$A$1:$C$11,2,0)</f>
        <v>Gabinete</v>
      </c>
      <c r="F28" s="9">
        <f>VLOOKUP(Tabela1[[#This Row],[id_produto]],'[1]Preparando Tabela de Produtos p'!$A$1:$C$11,3,0)</f>
        <v>1050</v>
      </c>
      <c r="G28" s="10">
        <v>3</v>
      </c>
      <c r="H28" s="9">
        <f>Tabela1[[#This Row],[quantidade]]*Tabela1[[#This Row],[preco_unitario]]</f>
        <v>3150</v>
      </c>
      <c r="I28" s="5">
        <v>46103</v>
      </c>
      <c r="M28" s="8"/>
    </row>
    <row r="29" spans="1:13" x14ac:dyDescent="0.25">
      <c r="A29" s="1">
        <v>29</v>
      </c>
      <c r="B29" s="1">
        <v>8</v>
      </c>
      <c r="C29" s="1">
        <v>5</v>
      </c>
      <c r="D29" s="1">
        <v>5</v>
      </c>
      <c r="E29" s="4" t="str">
        <f>VLOOKUP(Tabela1[[#This Row],[id_produto]],'[1]Preparando Tabela de Produtos p'!$A$1:$C$11,2,0)</f>
        <v>Placa-Mãe</v>
      </c>
      <c r="F29" s="9">
        <f>VLOOKUP(Tabela1[[#This Row],[id_produto]],'[1]Preparando Tabela de Produtos p'!$A$1:$C$11,3,0)</f>
        <v>1350</v>
      </c>
      <c r="G29" s="10">
        <v>3</v>
      </c>
      <c r="H29" s="9">
        <f>Tabela1[[#This Row],[quantidade]]*Tabela1[[#This Row],[preco_unitario]]</f>
        <v>4050</v>
      </c>
      <c r="I29" s="5">
        <v>46374</v>
      </c>
      <c r="M29" s="8"/>
    </row>
    <row r="30" spans="1:13" x14ac:dyDescent="0.25">
      <c r="A30" s="1">
        <v>30</v>
      </c>
      <c r="B30" s="1">
        <v>9</v>
      </c>
      <c r="C30" s="1">
        <v>6</v>
      </c>
      <c r="D30" s="1">
        <v>3</v>
      </c>
      <c r="E30" s="4" t="str">
        <f>VLOOKUP(Tabela1[[#This Row],[id_produto]],'[1]Preparando Tabela de Produtos p'!$A$1:$C$11,2,0)</f>
        <v>Memória RAM</v>
      </c>
      <c r="F30" s="9">
        <f>VLOOKUP(Tabela1[[#This Row],[id_produto]],'[1]Preparando Tabela de Produtos p'!$A$1:$C$11,3,0)</f>
        <v>1450</v>
      </c>
      <c r="G30" s="10">
        <v>3</v>
      </c>
      <c r="H30" s="9">
        <f>Tabela1[[#This Row],[quantidade]]*Tabela1[[#This Row],[preco_unitario]]</f>
        <v>4350</v>
      </c>
      <c r="I30" s="5">
        <v>46144</v>
      </c>
      <c r="M30" s="8"/>
    </row>
    <row r="31" spans="1:13" x14ac:dyDescent="0.25">
      <c r="A31" s="1">
        <v>31</v>
      </c>
      <c r="B31" s="1">
        <v>8</v>
      </c>
      <c r="C31" s="1">
        <v>7</v>
      </c>
      <c r="D31" s="1">
        <v>4</v>
      </c>
      <c r="E31" s="4" t="str">
        <f>VLOOKUP(Tabela1[[#This Row],[id_produto]],'[1]Preparando Tabela de Produtos p'!$A$1:$C$11,2,0)</f>
        <v>SSD</v>
      </c>
      <c r="F31" s="9">
        <f>VLOOKUP(Tabela1[[#This Row],[id_produto]],'[1]Preparando Tabela de Produtos p'!$A$1:$C$11,3,0)</f>
        <v>1150</v>
      </c>
      <c r="G31" s="10">
        <v>3</v>
      </c>
      <c r="H31" s="9">
        <f>Tabela1[[#This Row],[quantidade]]*Tabela1[[#This Row],[preco_unitario]]</f>
        <v>3450</v>
      </c>
      <c r="I31" s="5">
        <v>46042</v>
      </c>
      <c r="M31" s="8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Adriano Lira ֆ</cp:lastModifiedBy>
  <cp:revision/>
  <dcterms:created xsi:type="dcterms:W3CDTF">2026-04-16T19:50:43Z</dcterms:created>
  <dcterms:modified xsi:type="dcterms:W3CDTF">2026-04-22T20:00:34Z</dcterms:modified>
  <cp:category/>
  <cp:contentStatus/>
</cp:coreProperties>
</file>